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oc\auca\grades\"/>
    </mc:Choice>
  </mc:AlternateContent>
  <bookViews>
    <workbookView xWindow="0" yWindow="0" windowWidth="19200" windowHeight="6800"/>
  </bookViews>
  <sheets>
    <sheet name="EXPECTED RESULTS" sheetId="1" r:id="rId1"/>
    <sheet name="FINAL RESULT" sheetId="2" r:id="rId2"/>
    <sheet name="COURSES" sheetId="3" r:id="rId3"/>
    <sheet name="Major gpa and General gpa 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2" l="1"/>
  <c r="G101" i="2"/>
  <c r="G102" i="2" s="1"/>
  <c r="D101" i="2"/>
  <c r="G101" i="1"/>
  <c r="I100" i="1"/>
  <c r="I101" i="2" l="1"/>
  <c r="I102" i="2" s="1"/>
  <c r="F46" i="4"/>
  <c r="D46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E23" i="4"/>
  <c r="F23" i="4" s="1"/>
  <c r="E22" i="4"/>
  <c r="F22" i="4" s="1"/>
  <c r="E21" i="4"/>
  <c r="F21" i="4" s="1"/>
  <c r="F20" i="4"/>
  <c r="F19" i="4"/>
  <c r="F18" i="4"/>
  <c r="F17" i="4"/>
  <c r="F16" i="4"/>
  <c r="F15" i="4"/>
  <c r="F14" i="4"/>
  <c r="F13" i="4"/>
  <c r="F12" i="4"/>
  <c r="F11" i="4"/>
  <c r="F10" i="4"/>
  <c r="F9" i="4"/>
  <c r="G69" i="1"/>
  <c r="G98" i="2"/>
  <c r="I98" i="2" s="1"/>
  <c r="G99" i="2"/>
  <c r="I99" i="2" s="1"/>
  <c r="G100" i="2"/>
  <c r="I100" i="2" s="1"/>
  <c r="D98" i="2"/>
  <c r="D99" i="2"/>
  <c r="D100" i="2"/>
  <c r="G97" i="2"/>
  <c r="I97" i="2" s="1"/>
  <c r="D97" i="2"/>
  <c r="D81" i="2"/>
  <c r="I99" i="1"/>
  <c r="I98" i="1"/>
  <c r="I97" i="1"/>
  <c r="I96" i="1"/>
  <c r="J92" i="2" l="1"/>
  <c r="I101" i="1"/>
  <c r="J91" i="1" s="1"/>
  <c r="H57" i="2" l="1"/>
  <c r="H56" i="2"/>
  <c r="H55" i="2"/>
  <c r="M17" i="4" l="1"/>
  <c r="M18" i="4"/>
  <c r="I79" i="1"/>
  <c r="G80" i="2"/>
  <c r="I80" i="2" s="1"/>
  <c r="D80" i="2"/>
  <c r="G89" i="2"/>
  <c r="D88" i="2"/>
  <c r="D89" i="2"/>
  <c r="G108" i="2"/>
  <c r="G109" i="2"/>
  <c r="G110" i="2"/>
  <c r="D108" i="2"/>
  <c r="D109" i="2"/>
  <c r="D110" i="2"/>
  <c r="M16" i="4" l="1"/>
  <c r="K46" i="4"/>
  <c r="M15" i="4"/>
  <c r="M14" i="4"/>
  <c r="M13" i="4"/>
  <c r="M12" i="4"/>
  <c r="M11" i="4"/>
  <c r="M10" i="4"/>
  <c r="M9" i="4"/>
  <c r="D48" i="4" l="1"/>
  <c r="M46" i="4"/>
  <c r="K48" i="4" s="1"/>
  <c r="G90" i="2"/>
  <c r="G88" i="2"/>
  <c r="G78" i="2"/>
  <c r="G79" i="2"/>
  <c r="G81" i="2"/>
  <c r="D78" i="2"/>
  <c r="D79" i="2"/>
  <c r="D77" i="2"/>
  <c r="G110" i="1"/>
  <c r="I88" i="1"/>
  <c r="I89" i="1"/>
  <c r="I87" i="1"/>
  <c r="I77" i="1"/>
  <c r="I78" i="1"/>
  <c r="I80" i="1"/>
  <c r="I76" i="1"/>
  <c r="D69" i="2"/>
  <c r="G69" i="2"/>
  <c r="D68" i="2"/>
  <c r="H45" i="2"/>
  <c r="H44" i="2"/>
  <c r="H50" i="4" l="1"/>
  <c r="G91" i="2"/>
  <c r="G111" i="2"/>
  <c r="D46" i="2"/>
  <c r="D47" i="2"/>
  <c r="D48" i="2"/>
  <c r="G48" i="2" l="1"/>
  <c r="G47" i="2"/>
  <c r="D45" i="2"/>
  <c r="I110" i="2" l="1"/>
  <c r="I109" i="2"/>
  <c r="I90" i="2"/>
  <c r="I89" i="2"/>
  <c r="D83" i="2"/>
  <c r="I79" i="2"/>
  <c r="I78" i="2"/>
  <c r="G77" i="2"/>
  <c r="I77" i="2" s="1"/>
  <c r="G76" i="2"/>
  <c r="I76" i="2" s="1"/>
  <c r="D76" i="2"/>
  <c r="I69" i="2"/>
  <c r="G68" i="2"/>
  <c r="I68" i="2" s="1"/>
  <c r="G67" i="2"/>
  <c r="D67" i="2"/>
  <c r="G66" i="2"/>
  <c r="I66" i="2" s="1"/>
  <c r="D66" i="2"/>
  <c r="G65" i="2"/>
  <c r="I65" i="2" s="1"/>
  <c r="D65" i="2"/>
  <c r="G64" i="2"/>
  <c r="I64" i="2" s="1"/>
  <c r="D64" i="2"/>
  <c r="G57" i="2"/>
  <c r="I57" i="2" s="1"/>
  <c r="D57" i="2"/>
  <c r="G56" i="2"/>
  <c r="I56" i="2" s="1"/>
  <c r="D56" i="2"/>
  <c r="G55" i="2"/>
  <c r="I55" i="2" s="1"/>
  <c r="D55" i="2"/>
  <c r="D50" i="2"/>
  <c r="I48" i="2"/>
  <c r="I47" i="2"/>
  <c r="G46" i="2"/>
  <c r="G45" i="2"/>
  <c r="I45" i="2" s="1"/>
  <c r="G44" i="2"/>
  <c r="I44" i="2" s="1"/>
  <c r="D44" i="2"/>
  <c r="G43" i="2"/>
  <c r="I43" i="2" s="1"/>
  <c r="D43" i="2"/>
  <c r="G37" i="2"/>
  <c r="I37" i="2" s="1"/>
  <c r="D37" i="2"/>
  <c r="G36" i="2"/>
  <c r="I36" i="2" s="1"/>
  <c r="D36" i="2"/>
  <c r="G35" i="2"/>
  <c r="I35" i="2" s="1"/>
  <c r="D35" i="2"/>
  <c r="G34" i="2"/>
  <c r="I34" i="2" s="1"/>
  <c r="D34" i="2"/>
  <c r="G33" i="2"/>
  <c r="I33" i="2" s="1"/>
  <c r="D33" i="2"/>
  <c r="H26" i="2"/>
  <c r="G26" i="2"/>
  <c r="D26" i="2"/>
  <c r="H25" i="2"/>
  <c r="G25" i="2"/>
  <c r="D25" i="2"/>
  <c r="H24" i="2"/>
  <c r="G24" i="2"/>
  <c r="D24" i="2"/>
  <c r="G18" i="2"/>
  <c r="I17" i="2"/>
  <c r="I16" i="2"/>
  <c r="I15" i="2"/>
  <c r="I14" i="2"/>
  <c r="I13" i="2"/>
  <c r="I12" i="2"/>
  <c r="I109" i="1"/>
  <c r="I108" i="1"/>
  <c r="I107" i="1"/>
  <c r="G90" i="1"/>
  <c r="G81" i="1"/>
  <c r="I75" i="1"/>
  <c r="I68" i="1"/>
  <c r="I67" i="1"/>
  <c r="I66" i="1"/>
  <c r="I65" i="1"/>
  <c r="I64" i="1"/>
  <c r="I63" i="1"/>
  <c r="G57" i="1"/>
  <c r="I56" i="1"/>
  <c r="I55" i="1"/>
  <c r="I54" i="1"/>
  <c r="G48" i="1"/>
  <c r="I47" i="1"/>
  <c r="I46" i="1"/>
  <c r="I45" i="1"/>
  <c r="I44" i="1"/>
  <c r="I43" i="1"/>
  <c r="I42" i="1"/>
  <c r="G38" i="1"/>
  <c r="I37" i="1"/>
  <c r="I36" i="1"/>
  <c r="I35" i="1"/>
  <c r="I34" i="1"/>
  <c r="I33" i="1"/>
  <c r="G27" i="1"/>
  <c r="I26" i="1"/>
  <c r="I25" i="1"/>
  <c r="I24" i="1"/>
  <c r="D19" i="1"/>
  <c r="G18" i="1"/>
  <c r="I17" i="1"/>
  <c r="I16" i="1"/>
  <c r="I15" i="1"/>
  <c r="I14" i="1"/>
  <c r="I13" i="1"/>
  <c r="I12" i="1"/>
  <c r="G111" i="1" l="1"/>
  <c r="I25" i="2"/>
  <c r="I24" i="2"/>
  <c r="I18" i="2"/>
  <c r="J8" i="2" s="1"/>
  <c r="I26" i="2"/>
  <c r="I27" i="1"/>
  <c r="J19" i="1" s="1"/>
  <c r="I110" i="1"/>
  <c r="J82" i="1"/>
  <c r="I18" i="1"/>
  <c r="J8" i="1" s="1"/>
  <c r="G27" i="2"/>
  <c r="G38" i="2"/>
  <c r="I108" i="2"/>
  <c r="I111" i="2" s="1"/>
  <c r="I88" i="2"/>
  <c r="I91" i="2" s="1"/>
  <c r="G82" i="2"/>
  <c r="G70" i="2"/>
  <c r="G49" i="2"/>
  <c r="I48" i="1"/>
  <c r="J39" i="1" s="1"/>
  <c r="I81" i="2"/>
  <c r="I82" i="2" s="1"/>
  <c r="J70" i="1"/>
  <c r="I69" i="1"/>
  <c r="I58" i="2"/>
  <c r="G58" i="2"/>
  <c r="I57" i="1"/>
  <c r="J49" i="1" s="1"/>
  <c r="I46" i="2"/>
  <c r="I49" i="2" s="1"/>
  <c r="I67" i="2"/>
  <c r="I70" i="2" s="1"/>
  <c r="I38" i="1"/>
  <c r="J28" i="1" s="1"/>
  <c r="I38" i="2"/>
  <c r="G112" i="2" l="1"/>
  <c r="J58" i="1"/>
  <c r="I111" i="1"/>
  <c r="J71" i="2"/>
  <c r="I27" i="2"/>
  <c r="I112" i="2" s="1"/>
  <c r="J102" i="1"/>
  <c r="J28" i="2"/>
  <c r="J59" i="2"/>
  <c r="J83" i="2"/>
  <c r="J39" i="2"/>
  <c r="J50" i="2"/>
  <c r="J19" i="2" l="1"/>
  <c r="G113" i="1"/>
  <c r="J103" i="2"/>
  <c r="G114" i="2"/>
</calcChain>
</file>

<file path=xl/sharedStrings.xml><?xml version="1.0" encoding="utf-8"?>
<sst xmlns="http://schemas.openxmlformats.org/spreadsheetml/2006/main" count="282" uniqueCount="125">
  <si>
    <t>SEMESTER-1</t>
  </si>
  <si>
    <t>COURSE NAME</t>
  </si>
  <si>
    <t>CREDITS</t>
  </si>
  <si>
    <t>GRADE /20</t>
  </si>
  <si>
    <t>CREDITS * GRADE</t>
  </si>
  <si>
    <t>APPLIED MATHEMATICS</t>
  </si>
  <si>
    <t>INTRODUCTION TO BIBLE STUDIES</t>
  </si>
  <si>
    <t>INTRODUCTION TO COMPUTER APPLICATION</t>
  </si>
  <si>
    <t>PRINCIPALS OF ACCOUNTING</t>
  </si>
  <si>
    <t>GENERAL ENGLISH</t>
  </si>
  <si>
    <t>STUDY AND RESEARCH METHODS</t>
  </si>
  <si>
    <t>TOTAL</t>
  </si>
  <si>
    <t>DBMS</t>
  </si>
  <si>
    <t>Computer Maintenance</t>
  </si>
  <si>
    <t>Digital computer Fundamentals</t>
  </si>
  <si>
    <t>SEMESTER-3</t>
  </si>
  <si>
    <t>Multvaliable Calculus and ODE</t>
  </si>
  <si>
    <t>Intro to Computer Programming</t>
  </si>
  <si>
    <t>Software Engineering</t>
  </si>
  <si>
    <t>Descrptive Statistics</t>
  </si>
  <si>
    <t>Computer Networks</t>
  </si>
  <si>
    <t>SEMESTER-4</t>
  </si>
  <si>
    <t>Database Development with PL/SQL</t>
  </si>
  <si>
    <t>Programming with C</t>
  </si>
  <si>
    <t>SEMESTER-5-SUMMER</t>
  </si>
  <si>
    <t>Web Design</t>
  </si>
  <si>
    <t>SEMESTER-6</t>
  </si>
  <si>
    <t>SEMESTER-7</t>
  </si>
  <si>
    <t>English Proficiency II</t>
  </si>
  <si>
    <t>Java Programming</t>
  </si>
  <si>
    <t>Health Principles</t>
  </si>
  <si>
    <t>Software Project Management</t>
  </si>
  <si>
    <t>SEMESTER-8-SUMMER</t>
  </si>
  <si>
    <t>Operating systems</t>
  </si>
  <si>
    <t>SEMESTER-9</t>
  </si>
  <si>
    <t>Introduction to linux</t>
  </si>
  <si>
    <t>Philosophy Science and Religion</t>
  </si>
  <si>
    <t>Software Security</t>
  </si>
  <si>
    <t>Introduction to Big Data</t>
  </si>
  <si>
    <t>Software Quality Assurance</t>
  </si>
  <si>
    <t>Web Technology and Internet</t>
  </si>
  <si>
    <t>Final Year Project</t>
  </si>
  <si>
    <t>TOTAL MARKS /20</t>
  </si>
  <si>
    <t>SEMESTER-2-SUMMER</t>
  </si>
  <si>
    <t>Academic English Writing</t>
  </si>
  <si>
    <t>Applied Mathematics</t>
  </si>
  <si>
    <t>Bible Doctrines</t>
  </si>
  <si>
    <t>Best Programming Practice &amp; Design Patterns</t>
  </si>
  <si>
    <t>Data Structures and Algorithms</t>
  </si>
  <si>
    <t>Database Management Systems</t>
  </si>
  <si>
    <t>Descriptive Statistics</t>
  </si>
  <si>
    <t>Digital Computer Fundamentals</t>
  </si>
  <si>
    <t>Dot Net</t>
  </si>
  <si>
    <t>English Certificate Proficiency I</t>
  </si>
  <si>
    <t>English Certificate Proficiency II</t>
  </si>
  <si>
    <t>General English</t>
  </si>
  <si>
    <t>Introduction to Bible Study</t>
  </si>
  <si>
    <t>Introduction to Computer Applications</t>
  </si>
  <si>
    <t>Introduction to Computer Programming</t>
  </si>
  <si>
    <t>Introduction to Financial Accounting</t>
  </si>
  <si>
    <t>Introduction to LINUX Administration</t>
  </si>
  <si>
    <r>
      <rPr>
        <sz val="11"/>
        <color theme="1"/>
        <rFont val="Calibri"/>
        <charset val="134"/>
        <scheme val="minor"/>
      </rPr>
      <t xml:space="preserve">Internship </t>
    </r>
    <r>
      <rPr>
        <i/>
        <sz val="11"/>
        <color theme="1"/>
        <rFont val="Calibri"/>
        <charset val="134"/>
        <scheme val="minor"/>
      </rPr>
      <t>(includes Internship (IT))</t>
    </r>
  </si>
  <si>
    <t>Management Information Systems</t>
  </si>
  <si>
    <t>Mobile Programming</t>
  </si>
  <si>
    <t>Multivariable Calculus &amp; Differential Equations</t>
  </si>
  <si>
    <t>Object-Oriented Programming</t>
  </si>
  <si>
    <t>Operating Systems</t>
  </si>
  <si>
    <t>Philosophy, Science and Religion</t>
  </si>
  <si>
    <t>Principles of Accounting I</t>
  </si>
  <si>
    <t>Probability and Statistics</t>
  </si>
  <si>
    <t>Requirements Engineering</t>
  </si>
  <si>
    <t>Software Modeling and Design</t>
  </si>
  <si>
    <t>Software Testing Techniques</t>
  </si>
  <si>
    <t>Study and Research Methods</t>
  </si>
  <si>
    <t>Zero Credits</t>
  </si>
  <si>
    <t>Probalibility and Statistics</t>
  </si>
  <si>
    <t>Object Oriented programming</t>
  </si>
  <si>
    <t>Healph Principles</t>
  </si>
  <si>
    <t>DB Development with PL/SQL</t>
  </si>
  <si>
    <t>Software Project management</t>
  </si>
  <si>
    <t>Software Quarity Assurance</t>
  </si>
  <si>
    <t>Bible doctrines</t>
  </si>
  <si>
    <t>English Proficiency I</t>
  </si>
  <si>
    <t>IMS</t>
  </si>
  <si>
    <t>Intro to big data</t>
  </si>
  <si>
    <t>MAJOR GPA AND GENERAL GPA WITH OVERALL GPA SO FAR</t>
  </si>
  <si>
    <t>C.NAME</t>
  </si>
  <si>
    <t>CR</t>
  </si>
  <si>
    <t>MAJOR COURSES</t>
  </si>
  <si>
    <t>GENERAL COURSES</t>
  </si>
  <si>
    <t>APPLIED MATH</t>
  </si>
  <si>
    <t>Compute Maintenance</t>
  </si>
  <si>
    <t>DCF</t>
  </si>
  <si>
    <t>ICP</t>
  </si>
  <si>
    <t xml:space="preserve">Multivariable </t>
  </si>
  <si>
    <t>OS</t>
  </si>
  <si>
    <t>SPM</t>
  </si>
  <si>
    <t>Study and research</t>
  </si>
  <si>
    <t>Intro to Computer application</t>
  </si>
  <si>
    <t>Intro to bible study</t>
  </si>
  <si>
    <t>Principle of Accounting I</t>
  </si>
  <si>
    <t>Descriptive statistics</t>
  </si>
  <si>
    <t>Major GPA</t>
  </si>
  <si>
    <t>CNets</t>
  </si>
  <si>
    <t>ProbabilIty</t>
  </si>
  <si>
    <t>General GPA</t>
  </si>
  <si>
    <t>OVERALL GPA</t>
  </si>
  <si>
    <t>Academic Engrish Writing</t>
  </si>
  <si>
    <t xml:space="preserve">  ;</t>
  </si>
  <si>
    <t>Software Modeling Design</t>
  </si>
  <si>
    <t>Best Programming practice</t>
  </si>
  <si>
    <t>Theory Of computation</t>
  </si>
  <si>
    <t>Intrepreneurship</t>
  </si>
  <si>
    <t xml:space="preserve"> </t>
  </si>
  <si>
    <t>SEMESTER-10</t>
  </si>
  <si>
    <t>Internship</t>
  </si>
  <si>
    <t>Zero credit</t>
  </si>
  <si>
    <t>TOTAL SEMESTERS</t>
  </si>
  <si>
    <t>Software testing technics</t>
  </si>
  <si>
    <t>Bible Docrines</t>
  </si>
  <si>
    <t>Philosophy and Religion</t>
  </si>
  <si>
    <t>GRD/20</t>
  </si>
  <si>
    <t>CR*GRD</t>
  </si>
  <si>
    <t>English Proficiency Certificate</t>
  </si>
  <si>
    <t>International Certificate of Digital Literacy(ICDL)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</si>
</sst>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6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11" fillId="0" borderId="0" xfId="0" applyFont="1" applyBorder="1">
      <alignment vertical="center"/>
    </xf>
    <xf numFmtId="0" fontId="0" fillId="0" borderId="3" xfId="0" applyBorder="1">
      <alignment vertical="center"/>
    </xf>
    <xf numFmtId="0" fontId="11" fillId="0" borderId="1" xfId="0" applyFont="1" applyBorder="1">
      <alignment vertical="center"/>
    </xf>
    <xf numFmtId="0" fontId="11" fillId="0" borderId="4" xfId="0" applyFont="1" applyBorder="1">
      <alignment vertical="center"/>
    </xf>
    <xf numFmtId="0" fontId="10" fillId="7" borderId="0" xfId="0" applyFont="1" applyFill="1" applyBorder="1" applyAlignment="1">
      <alignment horizontal="center" vertical="center"/>
    </xf>
    <xf numFmtId="0" fontId="11" fillId="7" borderId="0" xfId="0" applyFont="1" applyFill="1" applyBorder="1">
      <alignment vertical="center"/>
    </xf>
    <xf numFmtId="0" fontId="0" fillId="7" borderId="0" xfId="0" applyFill="1" applyBorder="1">
      <alignment vertical="center"/>
    </xf>
    <xf numFmtId="0" fontId="11" fillId="7" borderId="0" xfId="0" applyFont="1" applyFill="1" applyBorder="1" applyAlignment="1">
      <alignment horizontal="center" vertical="center"/>
    </xf>
    <xf numFmtId="2" fontId="10" fillId="7" borderId="0" xfId="0" applyNumberFormat="1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top"/>
    </xf>
    <xf numFmtId="0" fontId="5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2" fillId="0" borderId="2" xfId="0" applyFont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8" fillId="4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164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4" fillId="0" borderId="2" xfId="0" applyFont="1" applyBorder="1">
      <alignment vertical="center"/>
    </xf>
    <xf numFmtId="0" fontId="0" fillId="0" borderId="0" xfId="0" applyBorder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2" fontId="13" fillId="7" borderId="0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2" fontId="10" fillId="6" borderId="0" xfId="0" applyNumberFormat="1" applyFont="1" applyFill="1" applyBorder="1" applyAlignment="1">
      <alignment horizontal="center" vertical="center"/>
    </xf>
    <xf numFmtId="2" fontId="10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130175</xdr:rowOff>
    </xdr:from>
    <xdr:to>
      <xdr:col>10</xdr:col>
      <xdr:colOff>0</xdr:colOff>
      <xdr:row>6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498475"/>
          <a:ext cx="4286250" cy="758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546100</xdr:colOff>
      <xdr:row>2</xdr:row>
      <xdr:rowOff>142875</xdr:rowOff>
    </xdr:from>
    <xdr:to>
      <xdr:col>9</xdr:col>
      <xdr:colOff>555625</xdr:colOff>
      <xdr:row>7</xdr:row>
      <xdr:rowOff>6350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0" y="511175"/>
          <a:ext cx="4264025" cy="784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Q114"/>
  <sheetViews>
    <sheetView tabSelected="1" topLeftCell="A93" workbookViewId="0">
      <selection activeCell="H66" sqref="H66"/>
    </sheetView>
  </sheetViews>
  <sheetFormatPr defaultColWidth="8.81640625" defaultRowHeight="14.5"/>
  <cols>
    <col min="7" max="7" width="9.26953125"/>
    <col min="9" max="9" width="8" customWidth="1"/>
  </cols>
  <sheetData>
    <row r="8" spans="3:10" ht="15" customHeight="1">
      <c r="D8" s="36" t="s">
        <v>0</v>
      </c>
      <c r="E8" s="36"/>
      <c r="F8" s="36"/>
      <c r="G8" s="36"/>
      <c r="H8" s="36"/>
      <c r="I8" s="36"/>
      <c r="J8" s="38">
        <f>I18/G18</f>
        <v>14.018749999999999</v>
      </c>
    </row>
    <row r="9" spans="3:10">
      <c r="D9" s="36"/>
      <c r="E9" s="36"/>
      <c r="F9" s="36"/>
      <c r="G9" s="36"/>
      <c r="H9" s="36"/>
      <c r="I9" s="36"/>
      <c r="J9" s="38"/>
    </row>
    <row r="10" spans="3:10">
      <c r="D10" s="47"/>
      <c r="E10" s="47"/>
      <c r="F10" s="47"/>
      <c r="G10" s="47"/>
      <c r="H10" s="47"/>
      <c r="I10" s="47"/>
      <c r="J10" s="47"/>
    </row>
    <row r="11" spans="3:10" ht="26">
      <c r="C11" s="24"/>
      <c r="D11" s="37" t="s">
        <v>1</v>
      </c>
      <c r="E11" s="37"/>
      <c r="F11" s="37"/>
      <c r="G11" s="25" t="s">
        <v>2</v>
      </c>
      <c r="H11" s="25" t="s">
        <v>3</v>
      </c>
      <c r="I11" s="37" t="s">
        <v>4</v>
      </c>
      <c r="J11" s="37"/>
    </row>
    <row r="12" spans="3:10">
      <c r="C12" s="24"/>
      <c r="D12" s="48" t="s">
        <v>5</v>
      </c>
      <c r="E12" s="48"/>
      <c r="F12" s="48"/>
      <c r="G12" s="26">
        <v>3</v>
      </c>
      <c r="H12" s="26">
        <v>12</v>
      </c>
      <c r="I12" s="49">
        <f>G12*H12</f>
        <v>36</v>
      </c>
      <c r="J12" s="49"/>
    </row>
    <row r="13" spans="3:10">
      <c r="C13" s="24"/>
      <c r="D13" s="48" t="s">
        <v>6</v>
      </c>
      <c r="E13" s="48"/>
      <c r="F13" s="48"/>
      <c r="G13" s="26">
        <v>2</v>
      </c>
      <c r="H13" s="26">
        <v>15</v>
      </c>
      <c r="I13" s="49">
        <f t="shared" ref="I13:I17" si="0">G13*H13</f>
        <v>30</v>
      </c>
      <c r="J13" s="49"/>
    </row>
    <row r="14" spans="3:10">
      <c r="C14" s="24"/>
      <c r="D14" s="48" t="s">
        <v>7</v>
      </c>
      <c r="E14" s="48"/>
      <c r="F14" s="48"/>
      <c r="G14" s="26">
        <v>3</v>
      </c>
      <c r="H14" s="26">
        <v>14</v>
      </c>
      <c r="I14" s="49">
        <f t="shared" si="0"/>
        <v>42</v>
      </c>
      <c r="J14" s="49"/>
    </row>
    <row r="15" spans="3:10">
      <c r="C15" s="24"/>
      <c r="D15" s="48" t="s">
        <v>8</v>
      </c>
      <c r="E15" s="48"/>
      <c r="F15" s="48"/>
      <c r="G15" s="26">
        <v>3</v>
      </c>
      <c r="H15" s="26">
        <v>14.9</v>
      </c>
      <c r="I15" s="49">
        <f t="shared" si="0"/>
        <v>44.7</v>
      </c>
      <c r="J15" s="49"/>
    </row>
    <row r="16" spans="3:10">
      <c r="C16" s="24"/>
      <c r="D16" s="48" t="s">
        <v>9</v>
      </c>
      <c r="E16" s="48"/>
      <c r="F16" s="48"/>
      <c r="G16" s="26">
        <v>3</v>
      </c>
      <c r="H16" s="26">
        <v>14</v>
      </c>
      <c r="I16" s="49">
        <f t="shared" si="0"/>
        <v>42</v>
      </c>
      <c r="J16" s="49"/>
    </row>
    <row r="17" spans="3:10">
      <c r="C17" s="24"/>
      <c r="D17" s="48" t="s">
        <v>10</v>
      </c>
      <c r="E17" s="48"/>
      <c r="F17" s="48"/>
      <c r="G17" s="26">
        <v>2</v>
      </c>
      <c r="H17" s="26">
        <v>14.8</v>
      </c>
      <c r="I17" s="49">
        <f t="shared" si="0"/>
        <v>29.6</v>
      </c>
      <c r="J17" s="49"/>
    </row>
    <row r="18" spans="3:10">
      <c r="C18" s="24"/>
      <c r="D18" s="50" t="s">
        <v>11</v>
      </c>
      <c r="E18" s="50"/>
      <c r="F18" s="50"/>
      <c r="G18" s="27">
        <f>SUM(G12:G17)</f>
        <v>16</v>
      </c>
      <c r="H18" s="27"/>
      <c r="I18" s="51">
        <f>SUM(I12:I17)</f>
        <v>224.29999999999998</v>
      </c>
      <c r="J18" s="51"/>
    </row>
    <row r="19" spans="3:10" ht="15" customHeight="1">
      <c r="C19" s="24"/>
      <c r="D19" s="37" t="str">
        <f>'FINAL RESULT'!D19</f>
        <v>SEMESTER-2-SUMMER</v>
      </c>
      <c r="E19" s="37"/>
      <c r="F19" s="37"/>
      <c r="G19" s="37"/>
      <c r="H19" s="37"/>
      <c r="I19" s="37"/>
      <c r="J19" s="39">
        <f>I27/G27</f>
        <v>16.5</v>
      </c>
    </row>
    <row r="20" spans="3:10">
      <c r="C20" s="24"/>
      <c r="D20" s="37"/>
      <c r="E20" s="37"/>
      <c r="F20" s="37"/>
      <c r="G20" s="37"/>
      <c r="H20" s="37"/>
      <c r="I20" s="37"/>
      <c r="J20" s="39"/>
    </row>
    <row r="21" spans="3:10">
      <c r="C21" s="24"/>
      <c r="D21" s="37"/>
      <c r="E21" s="37"/>
      <c r="F21" s="37"/>
      <c r="G21" s="37"/>
      <c r="H21" s="37"/>
      <c r="I21" s="37"/>
      <c r="J21" s="39"/>
    </row>
    <row r="22" spans="3:10">
      <c r="D22" s="45"/>
      <c r="E22" s="45"/>
      <c r="F22" s="45"/>
      <c r="G22" s="45"/>
      <c r="H22" s="45"/>
      <c r="I22" s="45"/>
      <c r="J22" s="45"/>
    </row>
    <row r="23" spans="3:10" ht="26">
      <c r="D23" s="36" t="s">
        <v>1</v>
      </c>
      <c r="E23" s="36"/>
      <c r="F23" s="36"/>
      <c r="G23" s="1" t="s">
        <v>2</v>
      </c>
      <c r="H23" s="1" t="s">
        <v>3</v>
      </c>
      <c r="I23" s="36" t="s">
        <v>4</v>
      </c>
      <c r="J23" s="36"/>
    </row>
    <row r="24" spans="3:10">
      <c r="D24" s="41" t="s">
        <v>12</v>
      </c>
      <c r="E24" s="41"/>
      <c r="F24" s="41"/>
      <c r="G24" s="5">
        <v>3</v>
      </c>
      <c r="H24" s="5">
        <v>17</v>
      </c>
      <c r="I24" s="42">
        <f>G24*H24</f>
        <v>51</v>
      </c>
      <c r="J24" s="42"/>
    </row>
    <row r="25" spans="3:10">
      <c r="D25" s="41" t="s">
        <v>13</v>
      </c>
      <c r="E25" s="41"/>
      <c r="F25" s="41"/>
      <c r="G25" s="5">
        <v>3</v>
      </c>
      <c r="H25" s="5">
        <v>16.5</v>
      </c>
      <c r="I25" s="42">
        <f>G25*H25</f>
        <v>49.5</v>
      </c>
      <c r="J25" s="42"/>
    </row>
    <row r="26" spans="3:10">
      <c r="D26" s="41" t="s">
        <v>14</v>
      </c>
      <c r="E26" s="41"/>
      <c r="F26" s="41"/>
      <c r="G26" s="5">
        <v>3</v>
      </c>
      <c r="H26" s="5">
        <v>16</v>
      </c>
      <c r="I26" s="42">
        <f>G26*H26</f>
        <v>48</v>
      </c>
      <c r="J26" s="42"/>
    </row>
    <row r="27" spans="3:10">
      <c r="D27" s="43" t="s">
        <v>11</v>
      </c>
      <c r="E27" s="43"/>
      <c r="F27" s="44"/>
      <c r="G27" s="4">
        <f>SUM(G24:G26)</f>
        <v>9</v>
      </c>
      <c r="H27" s="4"/>
      <c r="I27" s="43">
        <f>SUM(I24:I26)</f>
        <v>148.5</v>
      </c>
      <c r="J27" s="43"/>
    </row>
    <row r="28" spans="3:10" ht="15" customHeight="1">
      <c r="D28" s="36" t="s">
        <v>15</v>
      </c>
      <c r="E28" s="36"/>
      <c r="F28" s="36"/>
      <c r="G28" s="36"/>
      <c r="H28" s="36"/>
      <c r="I28" s="36"/>
      <c r="J28" s="38">
        <f>I38/G38</f>
        <v>16.144444444444446</v>
      </c>
    </row>
    <row r="29" spans="3:10">
      <c r="D29" s="36"/>
      <c r="E29" s="36"/>
      <c r="F29" s="36"/>
      <c r="G29" s="36"/>
      <c r="H29" s="36"/>
      <c r="I29" s="36"/>
      <c r="J29" s="38"/>
    </row>
    <row r="30" spans="3:10">
      <c r="D30" s="36"/>
      <c r="E30" s="36"/>
      <c r="F30" s="36"/>
      <c r="G30" s="36"/>
      <c r="H30" s="36"/>
      <c r="I30" s="36"/>
      <c r="J30" s="38"/>
    </row>
    <row r="31" spans="3:10">
      <c r="D31" s="45"/>
      <c r="E31" s="45"/>
      <c r="F31" s="45"/>
      <c r="G31" s="45"/>
      <c r="H31" s="45"/>
      <c r="I31" s="45"/>
      <c r="J31" s="45"/>
    </row>
    <row r="32" spans="3:10" ht="26">
      <c r="D32" s="36" t="s">
        <v>1</v>
      </c>
      <c r="E32" s="36"/>
      <c r="F32" s="36"/>
      <c r="G32" s="1" t="s">
        <v>2</v>
      </c>
      <c r="H32" s="1" t="s">
        <v>3</v>
      </c>
      <c r="I32" s="36" t="s">
        <v>4</v>
      </c>
      <c r="J32" s="36"/>
    </row>
    <row r="33" spans="4:11">
      <c r="D33" s="41" t="s">
        <v>16</v>
      </c>
      <c r="E33" s="41"/>
      <c r="F33" s="41"/>
      <c r="G33" s="5">
        <v>4</v>
      </c>
      <c r="H33" s="5">
        <v>15</v>
      </c>
      <c r="I33" s="42">
        <f t="shared" ref="I33:I37" si="1">G33*H33</f>
        <v>60</v>
      </c>
      <c r="J33" s="42"/>
    </row>
    <row r="34" spans="4:11">
      <c r="D34" s="41" t="s">
        <v>17</v>
      </c>
      <c r="E34" s="41"/>
      <c r="F34" s="41"/>
      <c r="G34" s="5">
        <v>4</v>
      </c>
      <c r="H34" s="5">
        <v>16.8</v>
      </c>
      <c r="I34" s="42">
        <f t="shared" si="1"/>
        <v>67.2</v>
      </c>
      <c r="J34" s="42"/>
    </row>
    <row r="35" spans="4:11">
      <c r="D35" s="41" t="s">
        <v>18</v>
      </c>
      <c r="E35" s="41"/>
      <c r="F35" s="41"/>
      <c r="G35" s="5">
        <v>3</v>
      </c>
      <c r="H35" s="5">
        <v>15.8</v>
      </c>
      <c r="I35" s="42">
        <f t="shared" si="1"/>
        <v>47.400000000000006</v>
      </c>
      <c r="J35" s="42"/>
      <c r="K35" s="5"/>
    </row>
    <row r="36" spans="4:11">
      <c r="D36" s="41" t="s">
        <v>19</v>
      </c>
      <c r="E36" s="41"/>
      <c r="F36" s="41"/>
      <c r="G36" s="5">
        <v>3</v>
      </c>
      <c r="H36" s="5">
        <v>16</v>
      </c>
      <c r="I36" s="42">
        <f t="shared" si="1"/>
        <v>48</v>
      </c>
      <c r="J36" s="42"/>
    </row>
    <row r="37" spans="4:11">
      <c r="D37" s="41" t="s">
        <v>20</v>
      </c>
      <c r="E37" s="41"/>
      <c r="F37" s="41"/>
      <c r="G37" s="5">
        <v>4</v>
      </c>
      <c r="H37" s="5">
        <v>17</v>
      </c>
      <c r="I37" s="42">
        <f t="shared" si="1"/>
        <v>68</v>
      </c>
      <c r="J37" s="42"/>
    </row>
    <row r="38" spans="4:11">
      <c r="D38" s="43" t="s">
        <v>11</v>
      </c>
      <c r="E38" s="43"/>
      <c r="F38" s="44"/>
      <c r="G38" s="4">
        <f>SUM(G33:G37)</f>
        <v>18</v>
      </c>
      <c r="H38" s="4"/>
      <c r="I38" s="43">
        <f>SUM(I33:I37)</f>
        <v>290.60000000000002</v>
      </c>
      <c r="J38" s="43"/>
    </row>
    <row r="39" spans="4:11">
      <c r="D39" s="36"/>
      <c r="E39" s="36"/>
      <c r="F39" s="36"/>
      <c r="G39" s="36"/>
      <c r="H39" s="36"/>
      <c r="I39" s="36"/>
      <c r="J39" s="38">
        <f>I48/G48</f>
        <v>16.026315789473685</v>
      </c>
    </row>
    <row r="40" spans="4:11">
      <c r="D40" s="36"/>
      <c r="E40" s="36"/>
      <c r="F40" s="36"/>
      <c r="G40" s="36"/>
      <c r="H40" s="36"/>
      <c r="I40" s="36"/>
      <c r="J40" s="38"/>
    </row>
    <row r="41" spans="4:11" ht="26">
      <c r="D41" s="36" t="s">
        <v>1</v>
      </c>
      <c r="E41" s="36"/>
      <c r="F41" s="36"/>
      <c r="G41" s="1" t="s">
        <v>2</v>
      </c>
      <c r="H41" s="1" t="s">
        <v>3</v>
      </c>
      <c r="I41" s="36" t="s">
        <v>4</v>
      </c>
      <c r="J41" s="36"/>
    </row>
    <row r="42" spans="4:11">
      <c r="D42" s="41" t="s">
        <v>33</v>
      </c>
      <c r="E42" s="41"/>
      <c r="F42" s="41"/>
      <c r="G42" s="5">
        <v>4</v>
      </c>
      <c r="H42" s="5">
        <v>15.5</v>
      </c>
      <c r="I42" s="42">
        <f t="shared" ref="I42:I47" si="2">G42*H42</f>
        <v>62</v>
      </c>
      <c r="J42" s="42"/>
    </row>
    <row r="43" spans="4:11">
      <c r="D43" s="46" t="s">
        <v>44</v>
      </c>
      <c r="E43" s="46"/>
      <c r="F43" s="46"/>
      <c r="G43" s="5">
        <v>3</v>
      </c>
      <c r="H43" s="5">
        <v>16</v>
      </c>
      <c r="I43" s="42">
        <f t="shared" si="2"/>
        <v>48</v>
      </c>
      <c r="J43" s="42"/>
    </row>
    <row r="44" spans="4:11">
      <c r="D44" s="41" t="s">
        <v>23</v>
      </c>
      <c r="E44" s="41"/>
      <c r="F44" s="41"/>
      <c r="G44" s="5">
        <v>4</v>
      </c>
      <c r="H44" s="5">
        <v>17</v>
      </c>
      <c r="I44" s="42">
        <f t="shared" si="2"/>
        <v>68</v>
      </c>
      <c r="J44" s="42"/>
    </row>
    <row r="45" spans="4:11">
      <c r="D45" s="41" t="s">
        <v>75</v>
      </c>
      <c r="E45" s="41"/>
      <c r="F45" s="41"/>
      <c r="G45" s="5">
        <v>3</v>
      </c>
      <c r="H45" s="5">
        <v>16</v>
      </c>
      <c r="I45" s="42">
        <f t="shared" si="2"/>
        <v>48</v>
      </c>
      <c r="J45" s="42"/>
    </row>
    <row r="46" spans="4:11">
      <c r="D46" s="41" t="s">
        <v>79</v>
      </c>
      <c r="E46" s="41"/>
      <c r="F46" s="41"/>
      <c r="G46" s="5">
        <v>3</v>
      </c>
      <c r="H46" s="5">
        <v>15.5</v>
      </c>
      <c r="I46" s="42">
        <f t="shared" si="2"/>
        <v>46.5</v>
      </c>
      <c r="J46" s="42"/>
    </row>
    <row r="47" spans="4:11">
      <c r="D47" t="s">
        <v>77</v>
      </c>
      <c r="G47" s="5">
        <v>2</v>
      </c>
      <c r="H47" s="5">
        <v>16</v>
      </c>
      <c r="I47" s="42">
        <f t="shared" si="2"/>
        <v>32</v>
      </c>
      <c r="J47" s="42"/>
    </row>
    <row r="48" spans="4:11">
      <c r="D48" s="43" t="s">
        <v>11</v>
      </c>
      <c r="E48" s="43"/>
      <c r="F48" s="44"/>
      <c r="G48" s="4">
        <f>SUM(G42:G47)</f>
        <v>19</v>
      </c>
      <c r="H48" s="4"/>
      <c r="I48" s="43">
        <f>SUM(I42:I47)</f>
        <v>304.5</v>
      </c>
      <c r="J48" s="43"/>
    </row>
    <row r="49" spans="4:10" ht="15" customHeight="1">
      <c r="D49" s="36" t="s">
        <v>24</v>
      </c>
      <c r="E49" s="36"/>
      <c r="F49" s="36"/>
      <c r="G49" s="36"/>
      <c r="H49" s="36"/>
      <c r="I49" s="36"/>
      <c r="J49" s="38">
        <f>I57/G57</f>
        <v>17.166666666666668</v>
      </c>
    </row>
    <row r="50" spans="4:10">
      <c r="D50" s="36"/>
      <c r="E50" s="36"/>
      <c r="F50" s="36"/>
      <c r="G50" s="36"/>
      <c r="H50" s="36"/>
      <c r="I50" s="36"/>
      <c r="J50" s="38"/>
    </row>
    <row r="51" spans="4:10">
      <c r="D51" s="36"/>
      <c r="E51" s="36"/>
      <c r="F51" s="36"/>
      <c r="G51" s="36"/>
      <c r="H51" s="36"/>
      <c r="I51" s="36"/>
      <c r="J51" s="38"/>
    </row>
    <row r="52" spans="4:10">
      <c r="D52" s="45"/>
      <c r="E52" s="45"/>
      <c r="F52" s="45"/>
      <c r="G52" s="45"/>
      <c r="H52" s="45"/>
      <c r="I52" s="45"/>
      <c r="J52" s="45"/>
    </row>
    <row r="53" spans="4:10" ht="26">
      <c r="D53" s="36" t="s">
        <v>1</v>
      </c>
      <c r="E53" s="36"/>
      <c r="F53" s="36"/>
      <c r="G53" s="1" t="s">
        <v>2</v>
      </c>
      <c r="H53" s="1" t="s">
        <v>3</v>
      </c>
      <c r="I53" s="36" t="s">
        <v>4</v>
      </c>
      <c r="J53" s="36"/>
    </row>
    <row r="54" spans="4:10">
      <c r="D54" s="41" t="s">
        <v>70</v>
      </c>
      <c r="E54" s="41"/>
      <c r="F54" s="41"/>
      <c r="G54" s="5">
        <v>3</v>
      </c>
      <c r="H54" s="5">
        <v>17</v>
      </c>
      <c r="I54" s="42">
        <f t="shared" ref="I54:I56" si="3">G54*H54</f>
        <v>51</v>
      </c>
      <c r="J54" s="42"/>
    </row>
    <row r="55" spans="4:10">
      <c r="D55" s="41" t="s">
        <v>25</v>
      </c>
      <c r="E55" s="41"/>
      <c r="F55" s="41"/>
      <c r="G55" s="5">
        <v>3</v>
      </c>
      <c r="H55" s="5">
        <v>17.5</v>
      </c>
      <c r="I55" s="42">
        <f t="shared" si="3"/>
        <v>52.5</v>
      </c>
      <c r="J55" s="42"/>
    </row>
    <row r="56" spans="4:10">
      <c r="D56" s="41" t="s">
        <v>80</v>
      </c>
      <c r="E56" s="41"/>
      <c r="F56" s="41"/>
      <c r="G56" s="5">
        <v>3</v>
      </c>
      <c r="H56" s="5">
        <v>17</v>
      </c>
      <c r="I56" s="42">
        <f t="shared" si="3"/>
        <v>51</v>
      </c>
      <c r="J56" s="42"/>
    </row>
    <row r="57" spans="4:10">
      <c r="D57" s="43" t="s">
        <v>11</v>
      </c>
      <c r="E57" s="43"/>
      <c r="F57" s="44"/>
      <c r="G57" s="4">
        <f>SUM(G54:G56)</f>
        <v>9</v>
      </c>
      <c r="H57" s="4"/>
      <c r="I57" s="43">
        <f>SUM(I54:I56)</f>
        <v>154.5</v>
      </c>
      <c r="J57" s="43"/>
    </row>
    <row r="58" spans="4:10" ht="15" customHeight="1">
      <c r="D58" s="36" t="s">
        <v>26</v>
      </c>
      <c r="E58" s="36"/>
      <c r="F58" s="36"/>
      <c r="G58" s="36"/>
      <c r="H58" s="36"/>
      <c r="I58" s="36"/>
      <c r="J58" s="38">
        <f>I69/G69</f>
        <v>16.911111111111111</v>
      </c>
    </row>
    <row r="59" spans="4:10">
      <c r="D59" s="36"/>
      <c r="E59" s="36"/>
      <c r="F59" s="36"/>
      <c r="G59" s="36"/>
      <c r="H59" s="36"/>
      <c r="I59" s="36"/>
      <c r="J59" s="38"/>
    </row>
    <row r="60" spans="4:10">
      <c r="D60" s="36"/>
      <c r="E60" s="36"/>
      <c r="F60" s="36"/>
      <c r="G60" s="36"/>
      <c r="H60" s="36"/>
      <c r="I60" s="36"/>
      <c r="J60" s="38"/>
    </row>
    <row r="61" spans="4:10">
      <c r="D61" s="45"/>
      <c r="E61" s="45"/>
      <c r="F61" s="45"/>
      <c r="G61" s="45"/>
      <c r="H61" s="45"/>
      <c r="I61" s="45"/>
      <c r="J61" s="45"/>
    </row>
    <row r="62" spans="4:10" ht="26">
      <c r="D62" s="36" t="s">
        <v>1</v>
      </c>
      <c r="E62" s="36"/>
      <c r="F62" s="36"/>
      <c r="G62" s="1" t="s">
        <v>2</v>
      </c>
      <c r="H62" s="1" t="s">
        <v>3</v>
      </c>
      <c r="I62" s="36" t="s">
        <v>4</v>
      </c>
      <c r="J62" s="36"/>
    </row>
    <row r="63" spans="4:10">
      <c r="D63" s="41" t="s">
        <v>78</v>
      </c>
      <c r="E63" s="41"/>
      <c r="F63" s="41"/>
      <c r="G63" s="5">
        <v>4</v>
      </c>
      <c r="H63" s="5">
        <v>16.899999999999999</v>
      </c>
      <c r="I63" s="42">
        <f t="shared" ref="I63:I68" si="4">G63*H63</f>
        <v>67.599999999999994</v>
      </c>
      <c r="J63" s="42"/>
    </row>
    <row r="64" spans="4:10">
      <c r="D64" s="41" t="s">
        <v>76</v>
      </c>
      <c r="E64" s="41"/>
      <c r="F64" s="41"/>
      <c r="G64" s="5">
        <v>4</v>
      </c>
      <c r="H64" s="5">
        <v>17</v>
      </c>
      <c r="I64" s="42">
        <f t="shared" si="4"/>
        <v>68</v>
      </c>
      <c r="J64" s="42"/>
    </row>
    <row r="65" spans="4:10">
      <c r="D65" s="41" t="s">
        <v>109</v>
      </c>
      <c r="E65" s="41"/>
      <c r="F65" s="41"/>
      <c r="G65" s="5">
        <v>4</v>
      </c>
      <c r="H65" s="5">
        <v>16.7</v>
      </c>
      <c r="I65" s="42">
        <f t="shared" si="4"/>
        <v>66.8</v>
      </c>
      <c r="J65" s="42"/>
    </row>
    <row r="66" spans="4:10">
      <c r="D66" s="41" t="s">
        <v>123</v>
      </c>
      <c r="E66" s="41"/>
      <c r="F66" s="41"/>
      <c r="G66" s="5"/>
      <c r="H66" s="5">
        <v>15</v>
      </c>
      <c r="I66" s="42">
        <f t="shared" si="4"/>
        <v>0</v>
      </c>
      <c r="J66" s="42"/>
    </row>
    <row r="67" spans="4:10">
      <c r="D67" s="41" t="s">
        <v>35</v>
      </c>
      <c r="E67" s="41"/>
      <c r="F67" s="41"/>
      <c r="G67" s="5">
        <v>3</v>
      </c>
      <c r="H67" s="5">
        <v>17</v>
      </c>
      <c r="I67" s="42">
        <f t="shared" si="4"/>
        <v>51</v>
      </c>
      <c r="J67" s="42"/>
    </row>
    <row r="68" spans="4:10">
      <c r="D68" s="41" t="s">
        <v>84</v>
      </c>
      <c r="E68" s="41"/>
      <c r="F68" s="41"/>
      <c r="G68" s="5">
        <v>3</v>
      </c>
      <c r="H68" s="5">
        <v>17</v>
      </c>
      <c r="I68" s="42">
        <f t="shared" si="4"/>
        <v>51</v>
      </c>
      <c r="J68" s="42"/>
    </row>
    <row r="69" spans="4:10">
      <c r="D69" s="43" t="s">
        <v>11</v>
      </c>
      <c r="E69" s="43"/>
      <c r="F69" s="44"/>
      <c r="G69" s="4">
        <f>SUM(G63:G68)</f>
        <v>18</v>
      </c>
      <c r="H69" s="4"/>
      <c r="I69" s="43">
        <f>SUM(I63:I68)</f>
        <v>304.39999999999998</v>
      </c>
      <c r="J69" s="43"/>
    </row>
    <row r="70" spans="4:10" ht="15" customHeight="1">
      <c r="D70" s="36" t="s">
        <v>27</v>
      </c>
      <c r="E70" s="36"/>
      <c r="F70" s="36"/>
      <c r="G70" s="36"/>
      <c r="H70" s="36"/>
      <c r="I70" s="36"/>
      <c r="J70" s="38">
        <f>I81/G81</f>
        <v>0</v>
      </c>
    </row>
    <row r="71" spans="4:10">
      <c r="D71" s="36"/>
      <c r="E71" s="36"/>
      <c r="F71" s="36"/>
      <c r="G71" s="36"/>
      <c r="H71" s="36"/>
      <c r="I71" s="36"/>
      <c r="J71" s="38"/>
    </row>
    <row r="72" spans="4:10">
      <c r="D72" s="36"/>
      <c r="E72" s="36"/>
      <c r="F72" s="36"/>
      <c r="G72" s="36"/>
      <c r="H72" s="36"/>
      <c r="I72" s="36"/>
      <c r="J72" s="38"/>
    </row>
    <row r="73" spans="4:10">
      <c r="D73" s="45"/>
      <c r="E73" s="45"/>
      <c r="F73" s="45"/>
      <c r="G73" s="45"/>
      <c r="H73" s="45"/>
      <c r="I73" s="45"/>
      <c r="J73" s="45"/>
    </row>
    <row r="74" spans="4:10" ht="26">
      <c r="D74" s="36" t="s">
        <v>1</v>
      </c>
      <c r="E74" s="36"/>
      <c r="F74" s="36"/>
      <c r="G74" s="1" t="s">
        <v>2</v>
      </c>
      <c r="H74" s="1" t="s">
        <v>3</v>
      </c>
      <c r="I74" s="36" t="s">
        <v>4</v>
      </c>
      <c r="J74" s="36"/>
    </row>
    <row r="75" spans="4:10">
      <c r="D75" s="41" t="s">
        <v>124</v>
      </c>
      <c r="E75" s="41"/>
      <c r="F75" s="41"/>
      <c r="G75" s="5">
        <v>4</v>
      </c>
      <c r="H75" s="5"/>
      <c r="I75" s="42">
        <f t="shared" ref="I75" si="5">G75*H75</f>
        <v>0</v>
      </c>
      <c r="J75" s="42"/>
    </row>
    <row r="76" spans="4:10">
      <c r="D76" s="41" t="s">
        <v>29</v>
      </c>
      <c r="E76" s="41"/>
      <c r="F76" s="41"/>
      <c r="G76" s="5">
        <v>4</v>
      </c>
      <c r="H76" s="5"/>
      <c r="I76" s="42">
        <f>G76*H76</f>
        <v>0</v>
      </c>
      <c r="J76" s="42"/>
    </row>
    <row r="77" spans="4:10">
      <c r="D77" s="41" t="s">
        <v>48</v>
      </c>
      <c r="E77" s="41"/>
      <c r="F77" s="41"/>
      <c r="G77" s="5">
        <v>4</v>
      </c>
      <c r="H77" s="5"/>
      <c r="I77" s="42">
        <f t="shared" ref="I77:I80" si="6">G77*H77</f>
        <v>0</v>
      </c>
      <c r="J77" s="42"/>
    </row>
    <row r="78" spans="4:10">
      <c r="D78" s="41" t="s">
        <v>40</v>
      </c>
      <c r="E78" s="41"/>
      <c r="F78" s="41"/>
      <c r="G78" s="5">
        <v>4</v>
      </c>
      <c r="H78" s="5"/>
      <c r="I78" s="42">
        <f t="shared" si="6"/>
        <v>0</v>
      </c>
      <c r="J78" s="42"/>
    </row>
    <row r="79" spans="4:10">
      <c r="D79" s="41" t="s">
        <v>112</v>
      </c>
      <c r="E79" s="41"/>
      <c r="F79" s="41"/>
      <c r="G79" s="5">
        <v>3</v>
      </c>
      <c r="H79" s="5"/>
      <c r="I79" s="42">
        <f t="shared" ref="I79" si="7">G79*H79</f>
        <v>0</v>
      </c>
      <c r="J79" s="42"/>
    </row>
    <row r="80" spans="4:10">
      <c r="D80" s="41" t="s">
        <v>46</v>
      </c>
      <c r="E80" s="41"/>
      <c r="F80" s="41"/>
      <c r="G80" s="5">
        <v>3</v>
      </c>
      <c r="H80" s="5"/>
      <c r="I80" s="42">
        <f t="shared" si="6"/>
        <v>0</v>
      </c>
      <c r="J80" s="42"/>
    </row>
    <row r="81" spans="4:10">
      <c r="D81" s="43" t="s">
        <v>11</v>
      </c>
      <c r="E81" s="43"/>
      <c r="F81" s="44"/>
      <c r="G81" s="4">
        <f>SUM(G75:G80)</f>
        <v>22</v>
      </c>
      <c r="H81" s="4"/>
      <c r="I81" s="42"/>
      <c r="J81" s="42"/>
    </row>
    <row r="82" spans="4:10" ht="15" customHeight="1">
      <c r="D82" s="36" t="s">
        <v>32</v>
      </c>
      <c r="E82" s="36"/>
      <c r="F82" s="36"/>
      <c r="G82" s="36"/>
      <c r="H82" s="36"/>
      <c r="I82" s="36"/>
      <c r="J82" s="38">
        <f>I90/G90</f>
        <v>0</v>
      </c>
    </row>
    <row r="83" spans="4:10">
      <c r="D83" s="36"/>
      <c r="E83" s="36"/>
      <c r="F83" s="36"/>
      <c r="G83" s="36"/>
      <c r="H83" s="36"/>
      <c r="I83" s="36"/>
      <c r="J83" s="38"/>
    </row>
    <row r="84" spans="4:10">
      <c r="D84" s="36"/>
      <c r="E84" s="36"/>
      <c r="F84" s="36"/>
      <c r="G84" s="36"/>
      <c r="H84" s="36"/>
      <c r="I84" s="36"/>
      <c r="J84" s="38"/>
    </row>
    <row r="85" spans="4:10">
      <c r="D85" s="45"/>
      <c r="E85" s="45"/>
      <c r="F85" s="45"/>
      <c r="G85" s="45"/>
      <c r="H85" s="45"/>
      <c r="I85" s="45"/>
      <c r="J85" s="45"/>
    </row>
    <row r="86" spans="4:10" ht="26">
      <c r="D86" s="36" t="s">
        <v>1</v>
      </c>
      <c r="E86" s="36"/>
      <c r="F86" s="36"/>
      <c r="G86" s="1" t="s">
        <v>2</v>
      </c>
      <c r="H86" s="1" t="s">
        <v>3</v>
      </c>
      <c r="I86" s="36" t="s">
        <v>4</v>
      </c>
      <c r="J86" s="36"/>
    </row>
    <row r="87" spans="4:10">
      <c r="D87" s="40" t="s">
        <v>118</v>
      </c>
      <c r="E87" s="40"/>
      <c r="F87" s="40"/>
      <c r="G87" s="5">
        <v>3</v>
      </c>
      <c r="H87" s="5"/>
      <c r="I87" s="42">
        <f>G87*H87</f>
        <v>0</v>
      </c>
      <c r="J87" s="42"/>
    </row>
    <row r="88" spans="4:10">
      <c r="D88" s="40" t="s">
        <v>111</v>
      </c>
      <c r="E88" s="40"/>
      <c r="F88" s="40"/>
      <c r="G88" s="5">
        <v>3</v>
      </c>
      <c r="H88" s="5"/>
      <c r="I88" s="42">
        <f t="shared" ref="I88:I89" si="8">G88*H88</f>
        <v>0</v>
      </c>
      <c r="J88" s="42"/>
    </row>
    <row r="89" spans="4:10">
      <c r="D89" s="40" t="s">
        <v>37</v>
      </c>
      <c r="E89" s="40"/>
      <c r="F89" s="40"/>
      <c r="G89" s="5">
        <v>3</v>
      </c>
      <c r="H89" s="5"/>
      <c r="I89" s="42">
        <f t="shared" si="8"/>
        <v>0</v>
      </c>
      <c r="J89" s="42"/>
    </row>
    <row r="90" spans="4:10">
      <c r="D90" s="43" t="s">
        <v>11</v>
      </c>
      <c r="E90" s="43"/>
      <c r="F90" s="44"/>
      <c r="G90" s="4">
        <f>SUM(G87:G89)</f>
        <v>9</v>
      </c>
      <c r="H90" s="4"/>
      <c r="I90" s="43"/>
      <c r="J90" s="43"/>
    </row>
    <row r="91" spans="4:10">
      <c r="D91" s="36" t="s">
        <v>34</v>
      </c>
      <c r="E91" s="36"/>
      <c r="F91" s="36"/>
      <c r="G91" s="36"/>
      <c r="H91" s="36"/>
      <c r="I91" s="36"/>
      <c r="J91" s="38">
        <f>I101/G101</f>
        <v>0</v>
      </c>
    </row>
    <row r="92" spans="4:10">
      <c r="D92" s="36"/>
      <c r="E92" s="36"/>
      <c r="F92" s="36"/>
      <c r="G92" s="36"/>
      <c r="H92" s="36"/>
      <c r="I92" s="36"/>
      <c r="J92" s="38"/>
    </row>
    <row r="93" spans="4:10">
      <c r="D93" s="36"/>
      <c r="E93" s="36"/>
      <c r="F93" s="36"/>
      <c r="G93" s="36"/>
      <c r="H93" s="36"/>
      <c r="I93" s="36"/>
      <c r="J93" s="38"/>
    </row>
    <row r="94" spans="4:10">
      <c r="D94" s="45"/>
      <c r="E94" s="45"/>
      <c r="F94" s="45"/>
      <c r="G94" s="45"/>
      <c r="H94" s="45"/>
      <c r="I94" s="45"/>
      <c r="J94" s="45"/>
    </row>
    <row r="95" spans="4:10" ht="26">
      <c r="D95" s="36" t="s">
        <v>1</v>
      </c>
      <c r="E95" s="36"/>
      <c r="F95" s="36"/>
      <c r="G95" s="29" t="s">
        <v>2</v>
      </c>
      <c r="H95" s="29" t="s">
        <v>3</v>
      </c>
      <c r="I95" s="36" t="s">
        <v>4</v>
      </c>
      <c r="J95" s="36"/>
    </row>
    <row r="96" spans="4:10">
      <c r="D96" s="40" t="s">
        <v>36</v>
      </c>
      <c r="E96" s="40"/>
      <c r="F96" s="40"/>
      <c r="G96">
        <v>2</v>
      </c>
      <c r="H96" s="5"/>
      <c r="I96" s="42">
        <f>G66*H96</f>
        <v>0</v>
      </c>
      <c r="J96" s="42"/>
    </row>
    <row r="97" spans="4:17">
      <c r="D97" s="40" t="s">
        <v>110</v>
      </c>
      <c r="E97" s="40"/>
      <c r="F97" s="40"/>
      <c r="G97">
        <v>4</v>
      </c>
      <c r="H97" s="5"/>
      <c r="I97" s="42">
        <f>G68*H97</f>
        <v>0</v>
      </c>
      <c r="J97" s="42"/>
    </row>
    <row r="98" spans="4:17">
      <c r="D98" s="40" t="s">
        <v>63</v>
      </c>
      <c r="E98" s="40"/>
      <c r="F98" s="40"/>
      <c r="G98" s="5">
        <v>4</v>
      </c>
      <c r="H98" s="5"/>
      <c r="I98" s="42">
        <f t="shared" ref="I98:I99" si="9">G98*H98</f>
        <v>0</v>
      </c>
      <c r="J98" s="42"/>
    </row>
    <row r="99" spans="4:17">
      <c r="D99" s="40" t="s">
        <v>52</v>
      </c>
      <c r="E99" s="40"/>
      <c r="F99" s="40"/>
      <c r="G99" s="5">
        <v>4</v>
      </c>
      <c r="H99" s="5"/>
      <c r="I99" s="42">
        <f t="shared" si="9"/>
        <v>0</v>
      </c>
      <c r="J99" s="42"/>
    </row>
    <row r="100" spans="4:17">
      <c r="D100" s="40" t="s">
        <v>83</v>
      </c>
      <c r="E100" s="40"/>
      <c r="F100" s="40"/>
      <c r="G100" s="5">
        <v>3</v>
      </c>
      <c r="H100" s="5"/>
      <c r="I100" s="42">
        <f t="shared" ref="I100" si="10">G100*H100</f>
        <v>0</v>
      </c>
      <c r="J100" s="42"/>
    </row>
    <row r="101" spans="4:17">
      <c r="D101" s="43" t="s">
        <v>11</v>
      </c>
      <c r="E101" s="43"/>
      <c r="F101" s="44"/>
      <c r="G101" s="4">
        <f>SUM(G96:G100)</f>
        <v>17</v>
      </c>
      <c r="H101" s="4"/>
      <c r="I101" s="43">
        <f>SUM(I96:I99)</f>
        <v>0</v>
      </c>
      <c r="J101" s="43"/>
    </row>
    <row r="102" spans="4:17">
      <c r="D102" s="36" t="s">
        <v>114</v>
      </c>
      <c r="E102" s="36"/>
      <c r="F102" s="36"/>
      <c r="G102" s="36"/>
      <c r="H102" s="36"/>
      <c r="I102" s="36"/>
      <c r="J102" s="38">
        <f>I110/G110</f>
        <v>0</v>
      </c>
    </row>
    <row r="103" spans="4:17">
      <c r="D103" s="36"/>
      <c r="E103" s="36"/>
      <c r="F103" s="36"/>
      <c r="G103" s="36"/>
      <c r="H103" s="36"/>
      <c r="I103" s="36"/>
      <c r="J103" s="38"/>
      <c r="N103" s="41"/>
      <c r="O103" s="41"/>
      <c r="P103" s="41"/>
      <c r="Q103" s="5"/>
    </row>
    <row r="104" spans="4:17">
      <c r="D104" s="36"/>
      <c r="E104" s="36"/>
      <c r="F104" s="36"/>
      <c r="G104" s="36"/>
      <c r="H104" s="36"/>
      <c r="I104" s="36"/>
      <c r="J104" s="38"/>
      <c r="N104" s="41"/>
      <c r="O104" s="41"/>
      <c r="P104" s="41"/>
      <c r="Q104" s="5"/>
    </row>
    <row r="105" spans="4:17">
      <c r="D105" s="45"/>
      <c r="E105" s="45"/>
      <c r="F105" s="45"/>
      <c r="G105" s="45"/>
      <c r="H105" s="45"/>
      <c r="I105" s="45"/>
      <c r="J105" s="45"/>
      <c r="N105" s="41"/>
      <c r="O105" s="41"/>
      <c r="P105" s="41"/>
      <c r="Q105" s="5"/>
    </row>
    <row r="106" spans="4:17" ht="26">
      <c r="D106" s="36" t="s">
        <v>1</v>
      </c>
      <c r="E106" s="36"/>
      <c r="F106" s="36"/>
      <c r="G106" s="1" t="s">
        <v>2</v>
      </c>
      <c r="H106" s="1" t="s">
        <v>3</v>
      </c>
      <c r="I106" s="36" t="s">
        <v>4</v>
      </c>
      <c r="J106" s="36"/>
    </row>
    <row r="107" spans="4:17">
      <c r="D107" s="40" t="s">
        <v>116</v>
      </c>
      <c r="E107" s="40"/>
      <c r="F107" s="40"/>
      <c r="G107" s="5">
        <v>0</v>
      </c>
      <c r="H107" s="5"/>
      <c r="I107" s="42">
        <f>G77*H107</f>
        <v>0</v>
      </c>
      <c r="J107" s="42"/>
    </row>
    <row r="108" spans="4:17">
      <c r="D108" s="40" t="s">
        <v>115</v>
      </c>
      <c r="E108" s="40"/>
      <c r="F108" s="40"/>
      <c r="G108">
        <v>4</v>
      </c>
      <c r="H108" s="5"/>
      <c r="I108" s="42">
        <f>G78*H108</f>
        <v>0</v>
      </c>
      <c r="J108" s="42"/>
    </row>
    <row r="109" spans="4:17">
      <c r="D109" s="40" t="s">
        <v>41</v>
      </c>
      <c r="E109" s="40"/>
      <c r="F109" s="40"/>
      <c r="G109">
        <v>6</v>
      </c>
      <c r="H109" s="5"/>
      <c r="I109" s="42">
        <f>G80*H109</f>
        <v>0</v>
      </c>
      <c r="J109" s="42"/>
    </row>
    <row r="110" spans="4:17">
      <c r="D110" s="43" t="s">
        <v>11</v>
      </c>
      <c r="E110" s="43"/>
      <c r="F110" s="44"/>
      <c r="G110" s="4">
        <f>SUM(G107:G109)</f>
        <v>10</v>
      </c>
      <c r="H110" s="4"/>
      <c r="I110" s="43">
        <f>SUM(I107:I109)</f>
        <v>0</v>
      </c>
      <c r="J110" s="43"/>
    </row>
    <row r="111" spans="4:17">
      <c r="D111" s="36" t="s">
        <v>117</v>
      </c>
      <c r="E111" s="36"/>
      <c r="F111" s="36"/>
      <c r="G111" s="36">
        <f>SUM(G110,G81,G90,G69,G57,G48,G38,G27,G101,G18)</f>
        <v>147</v>
      </c>
      <c r="H111" s="36"/>
      <c r="I111" s="36">
        <f>SUM(I110,I90,I81,I69,I57,I48,I38,I27,I101,I18)</f>
        <v>1426.8</v>
      </c>
      <c r="J111" s="36"/>
    </row>
    <row r="112" spans="4:17">
      <c r="D112" s="36"/>
      <c r="E112" s="36"/>
      <c r="F112" s="36"/>
      <c r="G112" s="36"/>
      <c r="H112" s="36"/>
      <c r="I112" s="36"/>
      <c r="J112" s="36"/>
    </row>
    <row r="113" spans="4:10">
      <c r="D113" s="34" t="s">
        <v>42</v>
      </c>
      <c r="E113" s="34"/>
      <c r="F113" s="34"/>
      <c r="G113" s="35">
        <f>I111/G111</f>
        <v>9.7061224489795919</v>
      </c>
      <c r="H113" s="35"/>
      <c r="I113" s="35"/>
      <c r="J113" s="35"/>
    </row>
    <row r="114" spans="4:10">
      <c r="D114" s="34"/>
      <c r="E114" s="34"/>
      <c r="F114" s="34"/>
      <c r="G114" s="35"/>
      <c r="H114" s="35"/>
      <c r="I114" s="35"/>
      <c r="J114" s="35"/>
    </row>
  </sheetData>
  <mergeCells count="171">
    <mergeCell ref="D23:F23"/>
    <mergeCell ref="I23:J23"/>
    <mergeCell ref="D24:F24"/>
    <mergeCell ref="I24:J24"/>
    <mergeCell ref="D100:F100"/>
    <mergeCell ref="I100:J100"/>
    <mergeCell ref="D15:F15"/>
    <mergeCell ref="I15:J15"/>
    <mergeCell ref="D16:F16"/>
    <mergeCell ref="I16:J16"/>
    <mergeCell ref="D17:F17"/>
    <mergeCell ref="I17:J17"/>
    <mergeCell ref="D18:F18"/>
    <mergeCell ref="I18:J18"/>
    <mergeCell ref="D22:J22"/>
    <mergeCell ref="D25:F25"/>
    <mergeCell ref="I25:J25"/>
    <mergeCell ref="D26:F26"/>
    <mergeCell ref="I26:J26"/>
    <mergeCell ref="D27:F27"/>
    <mergeCell ref="I27:J27"/>
    <mergeCell ref="D31:J31"/>
    <mergeCell ref="D32:F32"/>
    <mergeCell ref="I32:J32"/>
    <mergeCell ref="D10:J10"/>
    <mergeCell ref="D11:F11"/>
    <mergeCell ref="I11:J11"/>
    <mergeCell ref="D12:F12"/>
    <mergeCell ref="I12:J12"/>
    <mergeCell ref="D13:F13"/>
    <mergeCell ref="I13:J13"/>
    <mergeCell ref="D14:F14"/>
    <mergeCell ref="I14:J14"/>
    <mergeCell ref="D38:F38"/>
    <mergeCell ref="I38:J38"/>
    <mergeCell ref="D39:I40"/>
    <mergeCell ref="J39:J40"/>
    <mergeCell ref="I46:J46"/>
    <mergeCell ref="D46:F46"/>
    <mergeCell ref="I47:J47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48:F48"/>
    <mergeCell ref="I48:J48"/>
    <mergeCell ref="D52:J52"/>
    <mergeCell ref="D53:F53"/>
    <mergeCell ref="I53:J53"/>
    <mergeCell ref="D41:F41"/>
    <mergeCell ref="I41:J41"/>
    <mergeCell ref="D42:F42"/>
    <mergeCell ref="I42:J42"/>
    <mergeCell ref="D43:F43"/>
    <mergeCell ref="I43:J43"/>
    <mergeCell ref="D44:F44"/>
    <mergeCell ref="I44:J44"/>
    <mergeCell ref="I45:J45"/>
    <mergeCell ref="D45:F45"/>
    <mergeCell ref="D57:F57"/>
    <mergeCell ref="I57:J57"/>
    <mergeCell ref="D61:J61"/>
    <mergeCell ref="D62:F62"/>
    <mergeCell ref="I62:J62"/>
    <mergeCell ref="D63:F63"/>
    <mergeCell ref="I63:J63"/>
    <mergeCell ref="J58:J60"/>
    <mergeCell ref="D54:F54"/>
    <mergeCell ref="I54:J54"/>
    <mergeCell ref="D55:F55"/>
    <mergeCell ref="I55:J55"/>
    <mergeCell ref="D56:F56"/>
    <mergeCell ref="I56:J56"/>
    <mergeCell ref="D64:F64"/>
    <mergeCell ref="I64:J64"/>
    <mergeCell ref="D65:F65"/>
    <mergeCell ref="I65:J65"/>
    <mergeCell ref="D66:F66"/>
    <mergeCell ref="I66:J66"/>
    <mergeCell ref="D67:F67"/>
    <mergeCell ref="I67:J67"/>
    <mergeCell ref="D68:F68"/>
    <mergeCell ref="I68:J68"/>
    <mergeCell ref="D69:F69"/>
    <mergeCell ref="I69:J69"/>
    <mergeCell ref="D73:J73"/>
    <mergeCell ref="D74:F74"/>
    <mergeCell ref="I74:J74"/>
    <mergeCell ref="D75:F75"/>
    <mergeCell ref="I75:J75"/>
    <mergeCell ref="D76:F76"/>
    <mergeCell ref="I76:J76"/>
    <mergeCell ref="J70:J72"/>
    <mergeCell ref="N104:P104"/>
    <mergeCell ref="D106:F106"/>
    <mergeCell ref="I106:J106"/>
    <mergeCell ref="N105:P105"/>
    <mergeCell ref="D77:F77"/>
    <mergeCell ref="I107:J107"/>
    <mergeCell ref="D78:F78"/>
    <mergeCell ref="I108:J108"/>
    <mergeCell ref="D90:F90"/>
    <mergeCell ref="I90:J90"/>
    <mergeCell ref="N103:P103"/>
    <mergeCell ref="D85:J85"/>
    <mergeCell ref="D86:F86"/>
    <mergeCell ref="I86:J86"/>
    <mergeCell ref="I87:J87"/>
    <mergeCell ref="I88:J88"/>
    <mergeCell ref="I89:J89"/>
    <mergeCell ref="I77:J77"/>
    <mergeCell ref="I78:J78"/>
    <mergeCell ref="I80:J80"/>
    <mergeCell ref="D79:F79"/>
    <mergeCell ref="I79:J79"/>
    <mergeCell ref="D107:F107"/>
    <mergeCell ref="D88:F88"/>
    <mergeCell ref="D80:F80"/>
    <mergeCell ref="I109:J109"/>
    <mergeCell ref="D110:F110"/>
    <mergeCell ref="I110:J110"/>
    <mergeCell ref="D105:J105"/>
    <mergeCell ref="D81:F81"/>
    <mergeCell ref="I81:J81"/>
    <mergeCell ref="D108:F108"/>
    <mergeCell ref="D109:F109"/>
    <mergeCell ref="I101:J101"/>
    <mergeCell ref="D91:I93"/>
    <mergeCell ref="J91:J93"/>
    <mergeCell ref="D94:J94"/>
    <mergeCell ref="D95:F95"/>
    <mergeCell ref="I95:J95"/>
    <mergeCell ref="D96:F96"/>
    <mergeCell ref="I96:J96"/>
    <mergeCell ref="D97:F97"/>
    <mergeCell ref="I97:J97"/>
    <mergeCell ref="D98:F98"/>
    <mergeCell ref="I98:J98"/>
    <mergeCell ref="D99:F99"/>
    <mergeCell ref="I99:J99"/>
    <mergeCell ref="D101:F101"/>
    <mergeCell ref="D113:F114"/>
    <mergeCell ref="G113:J114"/>
    <mergeCell ref="J111:J112"/>
    <mergeCell ref="D8:I9"/>
    <mergeCell ref="D19:I21"/>
    <mergeCell ref="D28:I30"/>
    <mergeCell ref="D49:I51"/>
    <mergeCell ref="D58:I60"/>
    <mergeCell ref="D70:I72"/>
    <mergeCell ref="D82:I84"/>
    <mergeCell ref="D102:I104"/>
    <mergeCell ref="D111:E112"/>
    <mergeCell ref="J8:J9"/>
    <mergeCell ref="J19:J21"/>
    <mergeCell ref="J28:J30"/>
    <mergeCell ref="J49:J51"/>
    <mergeCell ref="J82:J84"/>
    <mergeCell ref="J102:J104"/>
    <mergeCell ref="D87:F87"/>
    <mergeCell ref="F111:F112"/>
    <mergeCell ref="G111:G112"/>
    <mergeCell ref="H111:H112"/>
    <mergeCell ref="I111:I112"/>
    <mergeCell ref="D89:F89"/>
  </mergeCells>
  <conditionalFormatting sqref="J8:J9 J39">
    <cfRule type="cellIs" dxfId="29" priority="21" operator="greaterThan">
      <formula>11.9</formula>
    </cfRule>
  </conditionalFormatting>
  <conditionalFormatting sqref="J102:J104">
    <cfRule type="cellIs" dxfId="28" priority="15" operator="greaterThan">
      <formula>11.9</formula>
    </cfRule>
    <cfRule type="cellIs" dxfId="27" priority="16" operator="lessThan">
      <formula>12</formula>
    </cfRule>
    <cfRule type="cellIs" dxfId="26" priority="17" operator="greaterThan">
      <formula>11.9</formula>
    </cfRule>
    <cfRule type="cellIs" dxfId="25" priority="18" operator="lessThan">
      <formula>12</formula>
    </cfRule>
  </conditionalFormatting>
  <conditionalFormatting sqref="J8:J9 J19:J21 J28:J30 J82:J84 J70:J72 J58:J60 J49:J51 J39">
    <cfRule type="cellIs" dxfId="24" priority="19" operator="greaterThan">
      <formula>11.9</formula>
    </cfRule>
    <cfRule type="cellIs" dxfId="23" priority="20" operator="lessThan">
      <formula>12</formula>
    </cfRule>
  </conditionalFormatting>
  <conditionalFormatting sqref="J19 J28:J30 J82:J84 J70:J72 J58:J60 J49:J51 J39">
    <cfRule type="cellIs" dxfId="22" priority="23" operator="lessThan">
      <formula>12</formula>
    </cfRule>
  </conditionalFormatting>
  <conditionalFormatting sqref="J19:J21 J28:J30 J82:J84 J70:J72 J58:J60 J49:J51">
    <cfRule type="cellIs" dxfId="21" priority="22" operator="greaterThan">
      <formula>11.9</formula>
    </cfRule>
  </conditionalFormatting>
  <conditionalFormatting sqref="G113:J114">
    <cfRule type="cellIs" dxfId="20" priority="9" operator="greaterThan">
      <formula>11.9</formula>
    </cfRule>
    <cfRule type="cellIs" dxfId="19" priority="10" operator="lessThan">
      <formula>12</formula>
    </cfRule>
  </conditionalFormatting>
  <conditionalFormatting sqref="J91:J93">
    <cfRule type="cellIs" dxfId="18" priority="1" operator="greaterThan">
      <formula>11.9</formula>
    </cfRule>
    <cfRule type="cellIs" dxfId="17" priority="2" operator="lessThan">
      <formula>12</formula>
    </cfRule>
    <cfRule type="cellIs" dxfId="16" priority="3" operator="greaterThan">
      <formula>11.9</formula>
    </cfRule>
    <cfRule type="cellIs" dxfId="15" priority="4" operator="lessThan">
      <formula>12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X115"/>
  <sheetViews>
    <sheetView topLeftCell="A136" workbookViewId="0">
      <selection activeCell="D91" sqref="D91:F91"/>
    </sheetView>
  </sheetViews>
  <sheetFormatPr defaultColWidth="8.81640625" defaultRowHeight="14.5"/>
  <cols>
    <col min="9" max="9" width="8" customWidth="1"/>
  </cols>
  <sheetData>
    <row r="8" spans="4:10" ht="15" customHeight="1">
      <c r="D8" s="36" t="s">
        <v>0</v>
      </c>
      <c r="E8" s="36"/>
      <c r="F8" s="36"/>
      <c r="G8" s="36"/>
      <c r="H8" s="36"/>
      <c r="I8" s="36"/>
      <c r="J8" s="38">
        <f>I18/G18</f>
        <v>16.590625000000003</v>
      </c>
    </row>
    <row r="9" spans="4:10">
      <c r="D9" s="36"/>
      <c r="E9" s="36"/>
      <c r="F9" s="36"/>
      <c r="G9" s="36"/>
      <c r="H9" s="36"/>
      <c r="I9" s="36"/>
      <c r="J9" s="38"/>
    </row>
    <row r="10" spans="4:10">
      <c r="D10" s="47"/>
      <c r="E10" s="47"/>
      <c r="F10" s="47"/>
      <c r="G10" s="47"/>
      <c r="H10" s="47"/>
      <c r="I10" s="47"/>
      <c r="J10" s="47"/>
    </row>
    <row r="11" spans="4:10" ht="26">
      <c r="D11" s="36" t="s">
        <v>1</v>
      </c>
      <c r="E11" s="36"/>
      <c r="F11" s="36"/>
      <c r="G11" s="1" t="s">
        <v>2</v>
      </c>
      <c r="H11" s="1" t="s">
        <v>3</v>
      </c>
      <c r="I11" s="36" t="s">
        <v>4</v>
      </c>
      <c r="J11" s="36"/>
    </row>
    <row r="12" spans="4:10">
      <c r="D12" s="52" t="s">
        <v>5</v>
      </c>
      <c r="E12" s="52"/>
      <c r="F12" s="52"/>
      <c r="G12" s="2">
        <v>3</v>
      </c>
      <c r="H12" s="3">
        <v>16.8</v>
      </c>
      <c r="I12" s="42">
        <f t="shared" ref="I12:I17" si="0">G12*H12</f>
        <v>50.400000000000006</v>
      </c>
      <c r="J12" s="42"/>
    </row>
    <row r="13" spans="4:10">
      <c r="D13" s="52" t="s">
        <v>6</v>
      </c>
      <c r="E13" s="52"/>
      <c r="F13" s="52"/>
      <c r="G13" s="2">
        <v>2</v>
      </c>
      <c r="H13" s="2">
        <v>17.8</v>
      </c>
      <c r="I13" s="42">
        <f t="shared" si="0"/>
        <v>35.6</v>
      </c>
      <c r="J13" s="42"/>
    </row>
    <row r="14" spans="4:10">
      <c r="D14" s="52" t="s">
        <v>7</v>
      </c>
      <c r="E14" s="52"/>
      <c r="F14" s="52"/>
      <c r="G14" s="2">
        <v>3</v>
      </c>
      <c r="H14" s="2">
        <v>17.600000000000001</v>
      </c>
      <c r="I14" s="42">
        <f t="shared" si="0"/>
        <v>52.800000000000004</v>
      </c>
      <c r="J14" s="42"/>
    </row>
    <row r="15" spans="4:10">
      <c r="D15" s="52" t="s">
        <v>8</v>
      </c>
      <c r="E15" s="52"/>
      <c r="F15" s="52"/>
      <c r="G15" s="2">
        <v>3</v>
      </c>
      <c r="H15" s="2">
        <v>16.55</v>
      </c>
      <c r="I15" s="42">
        <f t="shared" si="0"/>
        <v>49.650000000000006</v>
      </c>
      <c r="J15" s="42"/>
    </row>
    <row r="16" spans="4:10">
      <c r="D16" s="52" t="s">
        <v>9</v>
      </c>
      <c r="E16" s="52"/>
      <c r="F16" s="52"/>
      <c r="G16" s="2">
        <v>3</v>
      </c>
      <c r="H16" s="2">
        <v>15</v>
      </c>
      <c r="I16" s="42">
        <f t="shared" si="0"/>
        <v>45</v>
      </c>
      <c r="J16" s="42"/>
    </row>
    <row r="17" spans="4:24">
      <c r="D17" s="52" t="s">
        <v>10</v>
      </c>
      <c r="E17" s="52"/>
      <c r="F17" s="52"/>
      <c r="G17" s="2">
        <v>2</v>
      </c>
      <c r="H17" s="2">
        <v>16</v>
      </c>
      <c r="I17" s="42">
        <f t="shared" si="0"/>
        <v>32</v>
      </c>
      <c r="J17" s="42"/>
    </row>
    <row r="18" spans="4:24">
      <c r="D18" s="44" t="s">
        <v>11</v>
      </c>
      <c r="E18" s="44"/>
      <c r="F18" s="44"/>
      <c r="G18" s="4">
        <f>SUM(G12:G17)</f>
        <v>16</v>
      </c>
      <c r="H18" s="4"/>
      <c r="I18" s="43">
        <f>SUM(I12:I17)</f>
        <v>265.45000000000005</v>
      </c>
      <c r="J18" s="43"/>
    </row>
    <row r="19" spans="4:24" ht="15" customHeight="1">
      <c r="D19" s="36" t="s">
        <v>43</v>
      </c>
      <c r="E19" s="36"/>
      <c r="F19" s="36"/>
      <c r="G19" s="36"/>
      <c r="H19" s="36"/>
      <c r="I19" s="36"/>
      <c r="J19" s="38">
        <f>I27/G27</f>
        <v>16.06666666666667</v>
      </c>
    </row>
    <row r="20" spans="4:24">
      <c r="D20" s="36"/>
      <c r="E20" s="36"/>
      <c r="F20" s="36"/>
      <c r="G20" s="36"/>
      <c r="H20" s="36"/>
      <c r="I20" s="36"/>
      <c r="J20" s="38"/>
    </row>
    <row r="21" spans="4:24">
      <c r="D21" s="36"/>
      <c r="E21" s="36"/>
      <c r="F21" s="36"/>
      <c r="G21" s="36"/>
      <c r="H21" s="36"/>
      <c r="I21" s="36"/>
      <c r="J21" s="38"/>
    </row>
    <row r="22" spans="4:24">
      <c r="D22" s="45"/>
      <c r="E22" s="45"/>
      <c r="F22" s="45"/>
      <c r="G22" s="45"/>
      <c r="H22" s="45"/>
      <c r="I22" s="45"/>
      <c r="J22" s="45"/>
    </row>
    <row r="23" spans="4:24" ht="26">
      <c r="D23" s="36" t="s">
        <v>1</v>
      </c>
      <c r="E23" s="36"/>
      <c r="F23" s="36"/>
      <c r="G23" s="1" t="s">
        <v>2</v>
      </c>
      <c r="H23" s="1" t="s">
        <v>3</v>
      </c>
      <c r="I23" s="36" t="s">
        <v>4</v>
      </c>
      <c r="J23" s="36"/>
    </row>
    <row r="24" spans="4:24">
      <c r="D24" s="41" t="str">
        <f>'EXPECTED RESULTS'!D24</f>
        <v>DBMS</v>
      </c>
      <c r="E24" s="41"/>
      <c r="F24" s="41"/>
      <c r="G24" s="5">
        <f>'EXPECTED RESULTS'!G24</f>
        <v>3</v>
      </c>
      <c r="H24" s="5">
        <f>0.71*20</f>
        <v>14.2</v>
      </c>
      <c r="I24" s="42">
        <f>G24*H24</f>
        <v>42.599999999999994</v>
      </c>
      <c r="J24" s="42"/>
    </row>
    <row r="25" spans="4:24">
      <c r="D25" s="41" t="str">
        <f>'EXPECTED RESULTS'!D25</f>
        <v>Computer Maintenance</v>
      </c>
      <c r="E25" s="41"/>
      <c r="F25" s="41"/>
      <c r="G25" s="5">
        <f>'EXPECTED RESULTS'!G25</f>
        <v>3</v>
      </c>
      <c r="H25" s="5">
        <f>0.93*20</f>
        <v>18.600000000000001</v>
      </c>
      <c r="I25" s="42">
        <f>G25*H25</f>
        <v>55.800000000000004</v>
      </c>
      <c r="J25" s="42"/>
    </row>
    <row r="26" spans="4:24">
      <c r="D26" s="41" t="str">
        <f>'EXPECTED RESULTS'!D26</f>
        <v>Digital computer Fundamentals</v>
      </c>
      <c r="E26" s="41"/>
      <c r="F26" s="41"/>
      <c r="G26" s="5">
        <f>'EXPECTED RESULTS'!G26</f>
        <v>3</v>
      </c>
      <c r="H26" s="5">
        <f>0.77*20</f>
        <v>15.4</v>
      </c>
      <c r="I26" s="42">
        <f>G26*H26</f>
        <v>46.2</v>
      </c>
      <c r="J26" s="42"/>
    </row>
    <row r="27" spans="4:24">
      <c r="D27" s="43" t="s">
        <v>11</v>
      </c>
      <c r="E27" s="43"/>
      <c r="F27" s="44"/>
      <c r="G27" s="4">
        <f>SUM(G24:G26)</f>
        <v>9</v>
      </c>
      <c r="H27" s="4"/>
      <c r="I27" s="43">
        <f>SUM(I24:I26)</f>
        <v>144.60000000000002</v>
      </c>
      <c r="J27" s="43"/>
    </row>
    <row r="28" spans="4:24" ht="15" customHeight="1">
      <c r="D28" s="36" t="s">
        <v>15</v>
      </c>
      <c r="E28" s="36"/>
      <c r="F28" s="36"/>
      <c r="G28" s="36"/>
      <c r="H28" s="36"/>
      <c r="I28" s="36"/>
      <c r="J28" s="38">
        <f>I38/G38</f>
        <v>16.204444444444444</v>
      </c>
    </row>
    <row r="29" spans="4:24">
      <c r="D29" s="36"/>
      <c r="E29" s="36"/>
      <c r="F29" s="36"/>
      <c r="G29" s="36"/>
      <c r="H29" s="36"/>
      <c r="I29" s="36"/>
      <c r="J29" s="38"/>
    </row>
    <row r="30" spans="4:24">
      <c r="D30" s="36"/>
      <c r="E30" s="36"/>
      <c r="F30" s="36"/>
      <c r="G30" s="36"/>
      <c r="H30" s="36"/>
      <c r="I30" s="36"/>
      <c r="J30" s="38"/>
    </row>
    <row r="31" spans="4:24">
      <c r="D31" s="45"/>
      <c r="E31" s="45"/>
      <c r="F31" s="45"/>
      <c r="G31" s="45"/>
      <c r="H31" s="45"/>
      <c r="I31" s="45"/>
      <c r="J31" s="45"/>
    </row>
    <row r="32" spans="4:24" ht="26">
      <c r="D32" s="36" t="s">
        <v>1</v>
      </c>
      <c r="E32" s="36"/>
      <c r="F32" s="36"/>
      <c r="G32" s="1" t="s">
        <v>2</v>
      </c>
      <c r="H32" s="1" t="s">
        <v>3</v>
      </c>
      <c r="I32" s="36" t="s">
        <v>4</v>
      </c>
      <c r="J32" s="3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4:24">
      <c r="D33" s="41" t="str">
        <f>'EXPECTED RESULTS'!D33</f>
        <v>Multvaliable Calculus and ODE</v>
      </c>
      <c r="E33" s="41"/>
      <c r="F33" s="41"/>
      <c r="G33" s="5">
        <f>'EXPECTED RESULTS'!G33</f>
        <v>4</v>
      </c>
      <c r="H33" s="5">
        <v>11.3</v>
      </c>
      <c r="I33" s="42">
        <f t="shared" ref="I33:I37" si="1">G33*H33</f>
        <v>45.2</v>
      </c>
      <c r="J33" s="4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4:24">
      <c r="D34" s="41" t="str">
        <f>'EXPECTED RESULTS'!D34</f>
        <v>Intro to Computer Programming</v>
      </c>
      <c r="E34" s="41"/>
      <c r="F34" s="41"/>
      <c r="G34" s="5">
        <f>'EXPECTED RESULTS'!G34</f>
        <v>4</v>
      </c>
      <c r="H34" s="5">
        <v>18.14</v>
      </c>
      <c r="I34" s="42">
        <f t="shared" si="1"/>
        <v>72.56</v>
      </c>
      <c r="J34" s="42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4:24">
      <c r="D35" s="41" t="str">
        <f>'EXPECTED RESULTS'!D35</f>
        <v>Software Engineering</v>
      </c>
      <c r="E35" s="41"/>
      <c r="F35" s="41"/>
      <c r="G35" s="5">
        <f>'EXPECTED RESULTS'!G35</f>
        <v>3</v>
      </c>
      <c r="H35" s="5">
        <v>15.5</v>
      </c>
      <c r="I35" s="42">
        <f t="shared" si="1"/>
        <v>46.5</v>
      </c>
      <c r="J35" s="4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4:24">
      <c r="D36" s="41" t="str">
        <f>'EXPECTED RESULTS'!D36</f>
        <v>Descrptive Statistics</v>
      </c>
      <c r="E36" s="41"/>
      <c r="F36" s="41"/>
      <c r="G36" s="5">
        <f>'EXPECTED RESULTS'!G36</f>
        <v>3</v>
      </c>
      <c r="H36" s="5">
        <v>17.100000000000001</v>
      </c>
      <c r="I36" s="42">
        <f t="shared" si="1"/>
        <v>51.300000000000004</v>
      </c>
      <c r="J36" s="42"/>
      <c r="L36" s="7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4:24">
      <c r="D37" s="41" t="str">
        <f>'EXPECTED RESULTS'!D37</f>
        <v>Computer Networks</v>
      </c>
      <c r="E37" s="41"/>
      <c r="F37" s="41"/>
      <c r="G37" s="5">
        <f>'EXPECTED RESULTS'!G37</f>
        <v>4</v>
      </c>
      <c r="H37" s="5">
        <v>19.03</v>
      </c>
      <c r="I37" s="42">
        <f t="shared" si="1"/>
        <v>76.12</v>
      </c>
      <c r="J37" s="4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4:24">
      <c r="D38" s="43" t="s">
        <v>11</v>
      </c>
      <c r="E38" s="43"/>
      <c r="F38" s="44"/>
      <c r="G38" s="4">
        <f>SUM(G33:G37)</f>
        <v>18</v>
      </c>
      <c r="H38" s="4"/>
      <c r="I38" s="43">
        <f>SUM(I33:I37)</f>
        <v>291.68</v>
      </c>
      <c r="J38" s="43"/>
    </row>
    <row r="39" spans="4:24" ht="15" customHeight="1">
      <c r="D39" s="36" t="s">
        <v>21</v>
      </c>
      <c r="E39" s="36"/>
      <c r="F39" s="36"/>
      <c r="G39" s="36"/>
      <c r="H39" s="36"/>
      <c r="I39" s="36"/>
      <c r="J39" s="38">
        <f>I49/G49</f>
        <v>17.063157894736843</v>
      </c>
    </row>
    <row r="40" spans="4:24">
      <c r="D40" s="36"/>
      <c r="E40" s="36"/>
      <c r="F40" s="36"/>
      <c r="G40" s="36"/>
      <c r="H40" s="36"/>
      <c r="I40" s="36"/>
      <c r="J40" s="38"/>
    </row>
    <row r="41" spans="4:24">
      <c r="D41" s="45"/>
      <c r="E41" s="45"/>
      <c r="F41" s="45"/>
      <c r="G41" s="45"/>
      <c r="H41" s="45"/>
      <c r="I41" s="45"/>
      <c r="J41" s="45"/>
    </row>
    <row r="42" spans="4:24" ht="26">
      <c r="D42" s="36" t="s">
        <v>1</v>
      </c>
      <c r="E42" s="36"/>
      <c r="F42" s="36"/>
      <c r="G42" s="1" t="s">
        <v>2</v>
      </c>
      <c r="H42" s="1" t="s">
        <v>3</v>
      </c>
      <c r="I42" s="36" t="s">
        <v>4</v>
      </c>
      <c r="J42" s="36"/>
    </row>
    <row r="43" spans="4:24">
      <c r="D43" s="41" t="str">
        <f>'EXPECTED RESULTS'!D42</f>
        <v>Operating systems</v>
      </c>
      <c r="E43" s="41"/>
      <c r="F43" s="41"/>
      <c r="G43" s="5">
        <f>'EXPECTED RESULTS'!G42</f>
        <v>4</v>
      </c>
      <c r="H43" s="5">
        <v>15.9</v>
      </c>
      <c r="I43" s="42">
        <f t="shared" ref="I43:I48" si="2">G43*H43</f>
        <v>63.6</v>
      </c>
      <c r="J43" s="42"/>
    </row>
    <row r="44" spans="4:24">
      <c r="D44" s="41" t="str">
        <f>'EXPECTED RESULTS'!D43</f>
        <v>Academic English Writing</v>
      </c>
      <c r="E44" s="41"/>
      <c r="F44" s="41"/>
      <c r="G44" s="5">
        <f>'EXPECTED RESULTS'!G43</f>
        <v>3</v>
      </c>
      <c r="H44" s="5">
        <f>(85.5/100)*20</f>
        <v>17.100000000000001</v>
      </c>
      <c r="I44" s="42">
        <f t="shared" si="2"/>
        <v>51.300000000000004</v>
      </c>
      <c r="J44" s="42"/>
    </row>
    <row r="45" spans="4:24">
      <c r="D45" s="41" t="str">
        <f>'EXPECTED RESULTS'!D44</f>
        <v>Programming with C</v>
      </c>
      <c r="E45" s="41"/>
      <c r="F45" s="41"/>
      <c r="G45" s="5">
        <f>'EXPECTED RESULTS'!G44</f>
        <v>4</v>
      </c>
      <c r="H45" s="5">
        <f>(90.5/100)*20</f>
        <v>18.100000000000001</v>
      </c>
      <c r="I45" s="42">
        <f t="shared" si="2"/>
        <v>72.400000000000006</v>
      </c>
      <c r="J45" s="42"/>
    </row>
    <row r="46" spans="4:24">
      <c r="D46" s="41" t="str">
        <f>'EXPECTED RESULTS'!D45</f>
        <v>Probalibility and Statistics</v>
      </c>
      <c r="E46" s="41"/>
      <c r="F46" s="41"/>
      <c r="G46" s="5">
        <f>'EXPECTED RESULTS'!G45</f>
        <v>3</v>
      </c>
      <c r="H46" s="5">
        <v>16.7</v>
      </c>
      <c r="I46" s="42">
        <f t="shared" si="2"/>
        <v>50.099999999999994</v>
      </c>
      <c r="J46" s="42"/>
    </row>
    <row r="47" spans="4:24">
      <c r="D47" s="47" t="str">
        <f>'EXPECTED RESULTS'!D46</f>
        <v>Software Project management</v>
      </c>
      <c r="E47" s="47"/>
      <c r="F47" s="47"/>
      <c r="G47">
        <f>'EXPECTED RESULTS'!G46</f>
        <v>3</v>
      </c>
      <c r="H47" s="5">
        <v>16.399999999999999</v>
      </c>
      <c r="I47" s="42">
        <f t="shared" si="2"/>
        <v>49.199999999999996</v>
      </c>
      <c r="J47" s="42"/>
    </row>
    <row r="48" spans="4:24">
      <c r="D48" s="41" t="str">
        <f>'EXPECTED RESULTS'!D47</f>
        <v>Healph Principles</v>
      </c>
      <c r="E48" s="41"/>
      <c r="F48" s="41"/>
      <c r="G48" s="5">
        <f>'EXPECTED RESULTS'!G47</f>
        <v>2</v>
      </c>
      <c r="H48" s="5">
        <v>18.8</v>
      </c>
      <c r="I48" s="42">
        <f t="shared" si="2"/>
        <v>37.6</v>
      </c>
      <c r="J48" s="42"/>
    </row>
    <row r="49" spans="4:13">
      <c r="D49" s="43" t="s">
        <v>11</v>
      </c>
      <c r="E49" s="43"/>
      <c r="F49" s="44"/>
      <c r="G49" s="4">
        <f>SUM(G43:G48)</f>
        <v>19</v>
      </c>
      <c r="H49" s="4"/>
      <c r="I49" s="43">
        <f>SUM(I43:I48)</f>
        <v>324.20000000000005</v>
      </c>
      <c r="J49" s="43"/>
    </row>
    <row r="50" spans="4:13" ht="15" customHeight="1">
      <c r="D50" s="36" t="str">
        <f>'EXPECTED RESULTS'!D49</f>
        <v>SEMESTER-5-SUMMER</v>
      </c>
      <c r="E50" s="36"/>
      <c r="F50" s="36"/>
      <c r="G50" s="36"/>
      <c r="H50" s="36"/>
      <c r="I50" s="36"/>
      <c r="J50" s="38">
        <f>I58/G58</f>
        <v>17.933333333333334</v>
      </c>
    </row>
    <row r="51" spans="4:13">
      <c r="D51" s="36"/>
      <c r="E51" s="36"/>
      <c r="F51" s="36"/>
      <c r="G51" s="36"/>
      <c r="H51" s="36"/>
      <c r="I51" s="36"/>
      <c r="J51" s="38"/>
    </row>
    <row r="52" spans="4:13">
      <c r="D52" s="36"/>
      <c r="E52" s="36"/>
      <c r="F52" s="36"/>
      <c r="G52" s="36"/>
      <c r="H52" s="36"/>
      <c r="I52" s="36"/>
      <c r="J52" s="38"/>
      <c r="M52" s="23" t="s">
        <v>108</v>
      </c>
    </row>
    <row r="53" spans="4:13">
      <c r="D53" s="45"/>
      <c r="E53" s="45"/>
      <c r="F53" s="45"/>
      <c r="G53" s="45"/>
      <c r="H53" s="45"/>
      <c r="I53" s="45"/>
      <c r="J53" s="45"/>
    </row>
    <row r="54" spans="4:13" ht="26">
      <c r="D54" s="36" t="s">
        <v>1</v>
      </c>
      <c r="E54" s="36"/>
      <c r="F54" s="36"/>
      <c r="G54" s="1" t="s">
        <v>2</v>
      </c>
      <c r="H54" s="1" t="s">
        <v>3</v>
      </c>
      <c r="I54" s="36" t="s">
        <v>4</v>
      </c>
      <c r="J54" s="36"/>
    </row>
    <row r="55" spans="4:13">
      <c r="D55" s="41" t="str">
        <f>'EXPECTED RESULTS'!D54</f>
        <v>Requirements Engineering</v>
      </c>
      <c r="E55" s="41"/>
      <c r="F55" s="41"/>
      <c r="G55" s="5">
        <f>'EXPECTED RESULTS'!G54</f>
        <v>3</v>
      </c>
      <c r="H55" s="5">
        <f>(88.5/100)*20</f>
        <v>17.7</v>
      </c>
      <c r="I55" s="42">
        <f t="shared" ref="I55:I57" si="3">G55*H55</f>
        <v>53.099999999999994</v>
      </c>
      <c r="J55" s="42"/>
    </row>
    <row r="56" spans="4:13">
      <c r="D56" s="41" t="str">
        <f>'EXPECTED RESULTS'!D55</f>
        <v>Web Design</v>
      </c>
      <c r="E56" s="41"/>
      <c r="F56" s="41"/>
      <c r="G56" s="5">
        <f>'EXPECTED RESULTS'!G55</f>
        <v>3</v>
      </c>
      <c r="H56" s="5">
        <f>(84/100)*20</f>
        <v>16.8</v>
      </c>
      <c r="I56" s="42">
        <f t="shared" si="3"/>
        <v>50.400000000000006</v>
      </c>
      <c r="J56" s="42"/>
    </row>
    <row r="57" spans="4:13">
      <c r="D57" s="41" t="str">
        <f>'EXPECTED RESULTS'!D56</f>
        <v>Software Quarity Assurance</v>
      </c>
      <c r="E57" s="41"/>
      <c r="F57" s="41"/>
      <c r="G57" s="5">
        <f>'EXPECTED RESULTS'!G56</f>
        <v>3</v>
      </c>
      <c r="H57" s="5">
        <f>(96.5/100)*20</f>
        <v>19.3</v>
      </c>
      <c r="I57" s="42">
        <f t="shared" si="3"/>
        <v>57.900000000000006</v>
      </c>
      <c r="J57" s="42"/>
    </row>
    <row r="58" spans="4:13">
      <c r="D58" s="43" t="s">
        <v>11</v>
      </c>
      <c r="E58" s="43"/>
      <c r="F58" s="44"/>
      <c r="G58" s="4">
        <f>SUM(G55:G57)</f>
        <v>9</v>
      </c>
      <c r="H58" s="4"/>
      <c r="I58" s="43">
        <f>SUM(I55:I57)</f>
        <v>161.4</v>
      </c>
      <c r="J58" s="43"/>
    </row>
    <row r="59" spans="4:13" ht="15" customHeight="1">
      <c r="D59" s="36" t="s">
        <v>26</v>
      </c>
      <c r="E59" s="36"/>
      <c r="F59" s="36"/>
      <c r="G59" s="36"/>
      <c r="H59" s="36"/>
      <c r="I59" s="36"/>
      <c r="J59" s="38">
        <f>I70/G70</f>
        <v>0</v>
      </c>
    </row>
    <row r="60" spans="4:13">
      <c r="D60" s="36"/>
      <c r="E60" s="36"/>
      <c r="F60" s="36"/>
      <c r="G60" s="36"/>
      <c r="H60" s="36"/>
      <c r="I60" s="36"/>
      <c r="J60" s="38"/>
    </row>
    <row r="61" spans="4:13">
      <c r="D61" s="36"/>
      <c r="E61" s="36"/>
      <c r="F61" s="36"/>
      <c r="G61" s="36"/>
      <c r="H61" s="36"/>
      <c r="I61" s="36"/>
      <c r="J61" s="38"/>
    </row>
    <row r="62" spans="4:13">
      <c r="D62" s="45"/>
      <c r="E62" s="45"/>
      <c r="F62" s="45"/>
      <c r="G62" s="45"/>
      <c r="H62" s="45"/>
      <c r="I62" s="45"/>
      <c r="J62" s="45"/>
    </row>
    <row r="63" spans="4:13" ht="26">
      <c r="D63" s="36" t="s">
        <v>1</v>
      </c>
      <c r="E63" s="36"/>
      <c r="F63" s="36"/>
      <c r="G63" s="1" t="s">
        <v>2</v>
      </c>
      <c r="H63" s="1" t="s">
        <v>3</v>
      </c>
      <c r="I63" s="36" t="s">
        <v>4</v>
      </c>
      <c r="J63" s="36"/>
    </row>
    <row r="64" spans="4:13">
      <c r="D64" s="41" t="str">
        <f>'EXPECTED RESULTS'!D63</f>
        <v>DB Development with PL/SQL</v>
      </c>
      <c r="E64" s="41"/>
      <c r="F64" s="41"/>
      <c r="G64" s="5">
        <f>'EXPECTED RESULTS'!G63</f>
        <v>4</v>
      </c>
      <c r="H64" s="5"/>
      <c r="I64" s="42">
        <f t="shared" ref="I64:I69" si="4">G64*H64</f>
        <v>0</v>
      </c>
      <c r="J64" s="42"/>
    </row>
    <row r="65" spans="4:10">
      <c r="D65" s="41" t="str">
        <f>'EXPECTED RESULTS'!D64</f>
        <v>Object Oriented programming</v>
      </c>
      <c r="E65" s="41"/>
      <c r="F65" s="41"/>
      <c r="G65" s="5">
        <f>'EXPECTED RESULTS'!G64</f>
        <v>4</v>
      </c>
      <c r="H65" s="5"/>
      <c r="I65" s="42">
        <f t="shared" si="4"/>
        <v>0</v>
      </c>
      <c r="J65" s="42"/>
    </row>
    <row r="66" spans="4:10">
      <c r="D66" s="41" t="str">
        <f>'EXPECTED RESULTS'!D65</f>
        <v>Software Modeling Design</v>
      </c>
      <c r="E66" s="41"/>
      <c r="F66" s="41"/>
      <c r="G66" s="5">
        <f>'EXPECTED RESULTS'!G65</f>
        <v>4</v>
      </c>
      <c r="H66" s="5"/>
      <c r="I66" s="42">
        <f t="shared" si="4"/>
        <v>0</v>
      </c>
      <c r="J66" s="42"/>
    </row>
    <row r="67" spans="4:10">
      <c r="D67" s="41" t="str">
        <f>'EXPECTED RESULTS'!D66</f>
        <v>English Proficiency Certificate</v>
      </c>
      <c r="E67" s="41"/>
      <c r="F67" s="41"/>
      <c r="G67" s="5">
        <f>'EXPECTED RESULTS'!G66</f>
        <v>0</v>
      </c>
      <c r="H67" s="5"/>
      <c r="I67" s="42">
        <f t="shared" si="4"/>
        <v>0</v>
      </c>
      <c r="J67" s="42"/>
    </row>
    <row r="68" spans="4:10">
      <c r="D68" s="41" t="str">
        <f>'EXPECTED RESULTS'!D67</f>
        <v>Introduction to linux</v>
      </c>
      <c r="E68" s="41"/>
      <c r="F68" s="41"/>
      <c r="G68" s="5">
        <f>'EXPECTED RESULTS'!G67</f>
        <v>3</v>
      </c>
      <c r="H68" s="5"/>
      <c r="I68" s="42">
        <f t="shared" si="4"/>
        <v>0</v>
      </c>
      <c r="J68" s="42"/>
    </row>
    <row r="69" spans="4:10">
      <c r="D69" s="41" t="str">
        <f>'EXPECTED RESULTS'!D68</f>
        <v>Intro to big data</v>
      </c>
      <c r="E69" s="41"/>
      <c r="F69" s="41"/>
      <c r="G69" s="5">
        <f>'EXPECTED RESULTS'!G68</f>
        <v>3</v>
      </c>
      <c r="H69" s="5"/>
      <c r="I69" s="42">
        <f t="shared" si="4"/>
        <v>0</v>
      </c>
      <c r="J69" s="42"/>
    </row>
    <row r="70" spans="4:10">
      <c r="D70" s="43" t="s">
        <v>11</v>
      </c>
      <c r="E70" s="43"/>
      <c r="F70" s="44"/>
      <c r="G70" s="4">
        <f>SUM(G64:G69)</f>
        <v>18</v>
      </c>
      <c r="H70" s="4"/>
      <c r="I70" s="43">
        <f>SUM(I64:I69)</f>
        <v>0</v>
      </c>
      <c r="J70" s="43"/>
    </row>
    <row r="71" spans="4:10" ht="15" customHeight="1">
      <c r="D71" s="36" t="s">
        <v>27</v>
      </c>
      <c r="E71" s="36"/>
      <c r="F71" s="36"/>
      <c r="G71" s="36"/>
      <c r="H71" s="36"/>
      <c r="I71" s="36"/>
      <c r="J71" s="38">
        <f>I82/G82</f>
        <v>0</v>
      </c>
    </row>
    <row r="72" spans="4:10">
      <c r="D72" s="36"/>
      <c r="E72" s="36"/>
      <c r="F72" s="36"/>
      <c r="G72" s="36"/>
      <c r="H72" s="36"/>
      <c r="I72" s="36"/>
      <c r="J72" s="38"/>
    </row>
    <row r="73" spans="4:10">
      <c r="D73" s="36"/>
      <c r="E73" s="36"/>
      <c r="F73" s="36"/>
      <c r="G73" s="36"/>
      <c r="H73" s="36"/>
      <c r="I73" s="36"/>
      <c r="J73" s="38"/>
    </row>
    <row r="74" spans="4:10">
      <c r="D74" s="45"/>
      <c r="E74" s="45"/>
      <c r="F74" s="45"/>
      <c r="G74" s="45"/>
      <c r="H74" s="45"/>
      <c r="I74" s="45"/>
      <c r="J74" s="45"/>
    </row>
    <row r="75" spans="4:10" ht="26">
      <c r="D75" s="36" t="s">
        <v>1</v>
      </c>
      <c r="E75" s="36"/>
      <c r="F75" s="36"/>
      <c r="G75" s="1" t="s">
        <v>2</v>
      </c>
      <c r="H75" s="1" t="s">
        <v>3</v>
      </c>
      <c r="I75" s="36" t="s">
        <v>4</v>
      </c>
      <c r="J75" s="36"/>
    </row>
    <row r="76" spans="4:10">
      <c r="D76" s="41" t="str">
        <f>'EXPECTED RESULTS'!D75</f>
        <v>International Certificate of Digital Literacy(ICDL)</v>
      </c>
      <c r="E76" s="41"/>
      <c r="F76" s="41"/>
      <c r="G76" s="5">
        <f>'EXPECTED RESULTS'!G75</f>
        <v>4</v>
      </c>
      <c r="H76" s="5"/>
      <c r="I76" s="42">
        <f t="shared" ref="I76:I81" si="5">G76*H76</f>
        <v>0</v>
      </c>
      <c r="J76" s="42"/>
    </row>
    <row r="77" spans="4:10">
      <c r="D77" s="41" t="str">
        <f>'EXPECTED RESULTS'!D76</f>
        <v>Java Programming</v>
      </c>
      <c r="E77" s="41"/>
      <c r="F77" s="41"/>
      <c r="G77" s="5">
        <f>'EXPECTED RESULTS'!G76</f>
        <v>4</v>
      </c>
      <c r="H77" s="5"/>
      <c r="I77" s="42">
        <f t="shared" si="5"/>
        <v>0</v>
      </c>
      <c r="J77" s="42"/>
    </row>
    <row r="78" spans="4:10">
      <c r="D78" s="41" t="str">
        <f>'EXPECTED RESULTS'!D77</f>
        <v>Data Structures and Algorithms</v>
      </c>
      <c r="E78" s="41"/>
      <c r="F78" s="41"/>
      <c r="G78" s="5">
        <f>'EXPECTED RESULTS'!G77</f>
        <v>4</v>
      </c>
      <c r="H78" s="5"/>
      <c r="I78" s="42">
        <f t="shared" si="5"/>
        <v>0</v>
      </c>
      <c r="J78" s="42"/>
    </row>
    <row r="79" spans="4:10">
      <c r="D79" s="41" t="str">
        <f>'EXPECTED RESULTS'!D78</f>
        <v>Web Technology and Internet</v>
      </c>
      <c r="E79" s="41"/>
      <c r="F79" s="41"/>
      <c r="G79" s="5">
        <f>'EXPECTED RESULTS'!G78</f>
        <v>4</v>
      </c>
      <c r="H79" s="5"/>
      <c r="I79" s="42">
        <f t="shared" si="5"/>
        <v>0</v>
      </c>
      <c r="J79" s="42"/>
    </row>
    <row r="80" spans="4:10">
      <c r="D80" s="41" t="str">
        <f>'EXPECTED RESULTS'!D79</f>
        <v>Intrepreneurship</v>
      </c>
      <c r="E80" s="41"/>
      <c r="F80" s="41"/>
      <c r="G80" s="5">
        <f>'EXPECTED RESULTS'!G79</f>
        <v>3</v>
      </c>
      <c r="H80" s="5"/>
      <c r="I80" s="42">
        <f t="shared" ref="I80" si="6">G80*H80</f>
        <v>0</v>
      </c>
      <c r="J80" s="42"/>
    </row>
    <row r="81" spans="4:10">
      <c r="D81" s="41" t="str">
        <f>'EXPECTED RESULTS'!D80</f>
        <v>Bible Doctrines</v>
      </c>
      <c r="E81" s="41"/>
      <c r="F81" s="41"/>
      <c r="G81" s="5">
        <f>'EXPECTED RESULTS'!G80</f>
        <v>3</v>
      </c>
      <c r="H81" s="5"/>
      <c r="I81" s="42">
        <f t="shared" si="5"/>
        <v>0</v>
      </c>
      <c r="J81" s="42"/>
    </row>
    <row r="82" spans="4:10">
      <c r="D82" s="43" t="s">
        <v>11</v>
      </c>
      <c r="E82" s="43"/>
      <c r="F82" s="44"/>
      <c r="G82" s="4">
        <f>SUM(G76:G81)</f>
        <v>22</v>
      </c>
      <c r="H82" s="4"/>
      <c r="I82" s="43">
        <f>SUM(I76:I81)</f>
        <v>0</v>
      </c>
      <c r="J82" s="43"/>
    </row>
    <row r="83" spans="4:10" ht="15" customHeight="1">
      <c r="D83" s="36" t="str">
        <f>'EXPECTED RESULTS'!D82</f>
        <v>SEMESTER-8-SUMMER</v>
      </c>
      <c r="E83" s="36"/>
      <c r="F83" s="36"/>
      <c r="G83" s="36"/>
      <c r="H83" s="36"/>
      <c r="I83" s="36"/>
      <c r="J83" s="38">
        <f>I91/G91</f>
        <v>0</v>
      </c>
    </row>
    <row r="84" spans="4:10">
      <c r="D84" s="36"/>
      <c r="E84" s="36"/>
      <c r="F84" s="36"/>
      <c r="G84" s="36"/>
      <c r="H84" s="36"/>
      <c r="I84" s="36"/>
      <c r="J84" s="38"/>
    </row>
    <row r="85" spans="4:10">
      <c r="D85" s="36"/>
      <c r="E85" s="36"/>
      <c r="F85" s="36"/>
      <c r="G85" s="36"/>
      <c r="H85" s="36"/>
      <c r="I85" s="36"/>
      <c r="J85" s="38"/>
    </row>
    <row r="86" spans="4:10">
      <c r="D86" s="45"/>
      <c r="E86" s="45"/>
      <c r="F86" s="45"/>
      <c r="G86" s="45"/>
      <c r="H86" s="45"/>
      <c r="I86" s="45"/>
      <c r="J86" s="45"/>
    </row>
    <row r="87" spans="4:10" ht="26">
      <c r="D87" s="36" t="s">
        <v>1</v>
      </c>
      <c r="E87" s="36"/>
      <c r="F87" s="36"/>
      <c r="G87" s="1" t="s">
        <v>2</v>
      </c>
      <c r="H87" s="1" t="s">
        <v>3</v>
      </c>
      <c r="I87" s="36" t="s">
        <v>4</v>
      </c>
      <c r="J87" s="36"/>
    </row>
    <row r="88" spans="4:10">
      <c r="D88" s="41" t="str">
        <f>'EXPECTED RESULTS'!D87</f>
        <v>Software testing technics</v>
      </c>
      <c r="E88" s="41"/>
      <c r="F88" s="41"/>
      <c r="G88" s="5">
        <f>'EXPECTED RESULTS'!G87</f>
        <v>3</v>
      </c>
      <c r="H88" s="5"/>
      <c r="I88" s="42">
        <f t="shared" ref="I88:I90" si="7">G88*H88</f>
        <v>0</v>
      </c>
      <c r="J88" s="42"/>
    </row>
    <row r="89" spans="4:10">
      <c r="D89" s="41" t="str">
        <f>'EXPECTED RESULTS'!D88</f>
        <v>Theory Of computation</v>
      </c>
      <c r="E89" s="41"/>
      <c r="F89" s="41"/>
      <c r="G89" s="5">
        <f>'EXPECTED RESULTS'!G88</f>
        <v>3</v>
      </c>
      <c r="H89" s="5"/>
      <c r="I89" s="42">
        <f t="shared" si="7"/>
        <v>0</v>
      </c>
      <c r="J89" s="42"/>
    </row>
    <row r="90" spans="4:10">
      <c r="D90" s="41" t="str">
        <f>'EXPECTED RESULTS'!D89</f>
        <v>Software Security</v>
      </c>
      <c r="E90" s="41"/>
      <c r="F90" s="41"/>
      <c r="G90" s="5">
        <f>'EXPECTED RESULTS'!G89</f>
        <v>3</v>
      </c>
      <c r="H90" s="5"/>
      <c r="I90" s="42">
        <f t="shared" si="7"/>
        <v>0</v>
      </c>
      <c r="J90" s="42"/>
    </row>
    <row r="91" spans="4:10">
      <c r="D91" s="43" t="s">
        <v>11</v>
      </c>
      <c r="E91" s="43"/>
      <c r="F91" s="44"/>
      <c r="G91" s="4">
        <f>SUM(G88:G90)</f>
        <v>9</v>
      </c>
      <c r="H91" s="4"/>
      <c r="I91" s="43">
        <f>SUM(I88:I90)</f>
        <v>0</v>
      </c>
      <c r="J91" s="43"/>
    </row>
    <row r="92" spans="4:10">
      <c r="D92" s="36" t="s">
        <v>34</v>
      </c>
      <c r="E92" s="36"/>
      <c r="F92" s="36"/>
      <c r="G92" s="36"/>
      <c r="H92" s="36"/>
      <c r="I92" s="36"/>
      <c r="J92" s="38">
        <f>I102/G102</f>
        <v>0</v>
      </c>
    </row>
    <row r="93" spans="4:10">
      <c r="D93" s="36"/>
      <c r="E93" s="36"/>
      <c r="F93" s="36"/>
      <c r="G93" s="36"/>
      <c r="H93" s="36"/>
      <c r="I93" s="36"/>
      <c r="J93" s="38"/>
    </row>
    <row r="94" spans="4:10">
      <c r="D94" s="36"/>
      <c r="E94" s="36"/>
      <c r="F94" s="36"/>
      <c r="G94" s="36"/>
      <c r="H94" s="36"/>
      <c r="I94" s="36"/>
      <c r="J94" s="38"/>
    </row>
    <row r="95" spans="4:10">
      <c r="D95" s="45"/>
      <c r="E95" s="45"/>
      <c r="F95" s="45"/>
      <c r="G95" s="45"/>
      <c r="H95" s="45"/>
      <c r="I95" s="45"/>
      <c r="J95" s="45"/>
    </row>
    <row r="96" spans="4:10" ht="26">
      <c r="D96" s="36" t="s">
        <v>1</v>
      </c>
      <c r="E96" s="36"/>
      <c r="F96" s="36"/>
      <c r="G96" s="29" t="s">
        <v>2</v>
      </c>
      <c r="H96" s="29" t="s">
        <v>3</v>
      </c>
      <c r="I96" s="36" t="s">
        <v>4</v>
      </c>
      <c r="J96" s="36"/>
    </row>
    <row r="97" spans="4:10">
      <c r="D97" s="41" t="str">
        <f>'EXPECTED RESULTS'!D96</f>
        <v>Philosophy Science and Religion</v>
      </c>
      <c r="E97" s="41"/>
      <c r="F97" s="41"/>
      <c r="G97" s="5">
        <f>'EXPECTED RESULTS'!G96</f>
        <v>2</v>
      </c>
      <c r="H97" s="5"/>
      <c r="I97" s="42">
        <f>G97*H97</f>
        <v>0</v>
      </c>
      <c r="J97" s="42"/>
    </row>
    <row r="98" spans="4:10">
      <c r="D98" s="41" t="str">
        <f>'EXPECTED RESULTS'!D97</f>
        <v>Best Programming practice</v>
      </c>
      <c r="E98" s="41"/>
      <c r="F98" s="41"/>
      <c r="G98" s="5">
        <f>'EXPECTED RESULTS'!G97</f>
        <v>4</v>
      </c>
      <c r="H98" s="5"/>
      <c r="I98" s="42">
        <f t="shared" ref="I98:I100" si="8">G98*H98</f>
        <v>0</v>
      </c>
      <c r="J98" s="42"/>
    </row>
    <row r="99" spans="4:10">
      <c r="D99" s="41" t="str">
        <f>'EXPECTED RESULTS'!D98</f>
        <v>Mobile Programming</v>
      </c>
      <c r="E99" s="41"/>
      <c r="F99" s="41"/>
      <c r="G99" s="5">
        <f>'EXPECTED RESULTS'!G98</f>
        <v>4</v>
      </c>
      <c r="H99" s="5"/>
      <c r="I99" s="42">
        <f t="shared" ref="I99" si="9">G99*H99</f>
        <v>0</v>
      </c>
      <c r="J99" s="42"/>
    </row>
    <row r="100" spans="4:10">
      <c r="D100" s="41" t="str">
        <f>'EXPECTED RESULTS'!D99</f>
        <v>Dot Net</v>
      </c>
      <c r="E100" s="41"/>
      <c r="F100" s="41"/>
      <c r="G100" s="5">
        <f>'EXPECTED RESULTS'!G99</f>
        <v>4</v>
      </c>
      <c r="H100" s="5"/>
      <c r="I100" s="42">
        <f t="shared" si="8"/>
        <v>0</v>
      </c>
      <c r="J100" s="42"/>
    </row>
    <row r="101" spans="4:10">
      <c r="D101" s="41" t="str">
        <f>'EXPECTED RESULTS'!D100</f>
        <v>IMS</v>
      </c>
      <c r="E101" s="41"/>
      <c r="F101" s="41"/>
      <c r="G101" s="5">
        <f>'EXPECTED RESULTS'!G100</f>
        <v>3</v>
      </c>
      <c r="H101" s="5"/>
      <c r="I101" s="42">
        <f t="shared" ref="I101" si="10">G101*H101</f>
        <v>0</v>
      </c>
      <c r="J101" s="42"/>
    </row>
    <row r="102" spans="4:10">
      <c r="D102" s="43" t="s">
        <v>11</v>
      </c>
      <c r="E102" s="43"/>
      <c r="F102" s="44"/>
      <c r="G102" s="4">
        <f>SUM(G97:G101)</f>
        <v>17</v>
      </c>
      <c r="H102" s="4"/>
      <c r="I102" s="43">
        <f>SUM(I97:I101)</f>
        <v>0</v>
      </c>
      <c r="J102" s="43"/>
    </row>
    <row r="103" spans="4:10">
      <c r="D103" s="36" t="s">
        <v>114</v>
      </c>
      <c r="E103" s="36"/>
      <c r="F103" s="36"/>
      <c r="G103" s="36"/>
      <c r="H103" s="36"/>
      <c r="I103" s="36"/>
      <c r="J103" s="38">
        <f>I111/G111</f>
        <v>0</v>
      </c>
    </row>
    <row r="104" spans="4:10">
      <c r="D104" s="36"/>
      <c r="E104" s="36"/>
      <c r="F104" s="36"/>
      <c r="G104" s="36"/>
      <c r="H104" s="36"/>
      <c r="I104" s="36"/>
      <c r="J104" s="38"/>
    </row>
    <row r="105" spans="4:10">
      <c r="D105" s="36"/>
      <c r="E105" s="36"/>
      <c r="F105" s="36"/>
      <c r="G105" s="36"/>
      <c r="H105" s="36"/>
      <c r="I105" s="36"/>
      <c r="J105" s="38"/>
    </row>
    <row r="106" spans="4:10">
      <c r="D106" s="45"/>
      <c r="E106" s="45"/>
      <c r="F106" s="45"/>
      <c r="G106" s="45"/>
      <c r="H106" s="45"/>
      <c r="I106" s="45"/>
      <c r="J106" s="45"/>
    </row>
    <row r="107" spans="4:10" ht="26">
      <c r="D107" s="36" t="s">
        <v>1</v>
      </c>
      <c r="E107" s="36"/>
      <c r="F107" s="36"/>
      <c r="G107" s="1" t="s">
        <v>2</v>
      </c>
      <c r="H107" s="1" t="s">
        <v>3</v>
      </c>
      <c r="I107" s="36" t="s">
        <v>4</v>
      </c>
      <c r="J107" s="36"/>
    </row>
    <row r="108" spans="4:10">
      <c r="D108" s="41" t="str">
        <f>'EXPECTED RESULTS'!D107</f>
        <v>Zero credit</v>
      </c>
      <c r="E108" s="41"/>
      <c r="F108" s="41"/>
      <c r="G108" s="5">
        <f>'EXPECTED RESULTS'!G107</f>
        <v>0</v>
      </c>
      <c r="H108" s="5"/>
      <c r="I108" s="42">
        <f t="shared" ref="I108:I110" si="11">G108*H108</f>
        <v>0</v>
      </c>
      <c r="J108" s="42"/>
    </row>
    <row r="109" spans="4:10">
      <c r="D109" s="41" t="str">
        <f>'EXPECTED RESULTS'!D108</f>
        <v>Internship</v>
      </c>
      <c r="E109" s="41"/>
      <c r="F109" s="41"/>
      <c r="G109" s="5">
        <f>'EXPECTED RESULTS'!G108</f>
        <v>4</v>
      </c>
      <c r="H109" s="5"/>
      <c r="I109" s="42">
        <f t="shared" si="11"/>
        <v>0</v>
      </c>
      <c r="J109" s="42"/>
    </row>
    <row r="110" spans="4:10">
      <c r="D110" s="41" t="str">
        <f>'EXPECTED RESULTS'!D109</f>
        <v>Final Year Project</v>
      </c>
      <c r="E110" s="41"/>
      <c r="F110" s="41"/>
      <c r="G110" s="5">
        <f>'EXPECTED RESULTS'!G109</f>
        <v>6</v>
      </c>
      <c r="H110" s="5"/>
      <c r="I110" s="42">
        <f t="shared" si="11"/>
        <v>0</v>
      </c>
      <c r="J110" s="42"/>
    </row>
    <row r="111" spans="4:10">
      <c r="D111" s="43" t="s">
        <v>11</v>
      </c>
      <c r="E111" s="43"/>
      <c r="F111" s="44"/>
      <c r="G111" s="4">
        <f>SUM(G108:G110)</f>
        <v>10</v>
      </c>
      <c r="H111" s="4"/>
      <c r="I111" s="43">
        <f>SUM(I108:I110)</f>
        <v>0</v>
      </c>
      <c r="J111" s="43"/>
    </row>
    <row r="112" spans="4:10">
      <c r="D112" s="36" t="s">
        <v>117</v>
      </c>
      <c r="E112" s="36"/>
      <c r="F112" s="36"/>
      <c r="G112" s="36">
        <f>SUM(G111,G102,G91,G82,G70,G58,G49,G38,G27,G18,)</f>
        <v>147</v>
      </c>
      <c r="H112" s="36"/>
      <c r="I112" s="36">
        <f>SUM(I111,I91,I82,,I70,I58,I49,I38,I27,I18)</f>
        <v>1187.33</v>
      </c>
      <c r="J112" s="36"/>
    </row>
    <row r="113" spans="4:10">
      <c r="D113" s="36"/>
      <c r="E113" s="36"/>
      <c r="F113" s="36"/>
      <c r="G113" s="36"/>
      <c r="H113" s="36"/>
      <c r="I113" s="36"/>
      <c r="J113" s="36"/>
    </row>
    <row r="114" spans="4:10">
      <c r="D114" s="34" t="s">
        <v>42</v>
      </c>
      <c r="E114" s="34"/>
      <c r="F114" s="34"/>
      <c r="G114" s="35">
        <f>I112/G112</f>
        <v>8.0770748299319717</v>
      </c>
      <c r="H114" s="35"/>
      <c r="I114" s="35"/>
      <c r="J114" s="35"/>
    </row>
    <row r="115" spans="4:10">
      <c r="D115" s="34"/>
      <c r="E115" s="34"/>
      <c r="F115" s="34"/>
      <c r="G115" s="35"/>
      <c r="H115" s="35"/>
      <c r="I115" s="35"/>
      <c r="J115" s="35"/>
    </row>
  </sheetData>
  <mergeCells count="170">
    <mergeCell ref="I101:J101"/>
    <mergeCell ref="D10:J10"/>
    <mergeCell ref="D11:F11"/>
    <mergeCell ref="I11:J11"/>
    <mergeCell ref="D12:F12"/>
    <mergeCell ref="I12:J12"/>
    <mergeCell ref="D13:F13"/>
    <mergeCell ref="I13:J13"/>
    <mergeCell ref="D14:F14"/>
    <mergeCell ref="I14:J14"/>
    <mergeCell ref="D15:F15"/>
    <mergeCell ref="I15:J15"/>
    <mergeCell ref="D16:F16"/>
    <mergeCell ref="I16:J16"/>
    <mergeCell ref="D17:F17"/>
    <mergeCell ref="I17:J17"/>
    <mergeCell ref="D18:F18"/>
    <mergeCell ref="I18:J18"/>
    <mergeCell ref="D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36:F36"/>
    <mergeCell ref="I36:J36"/>
    <mergeCell ref="D37:F37"/>
    <mergeCell ref="I37:J37"/>
    <mergeCell ref="D38:F38"/>
    <mergeCell ref="I38:J38"/>
    <mergeCell ref="D41:J41"/>
    <mergeCell ref="D31:J31"/>
    <mergeCell ref="D32:F32"/>
    <mergeCell ref="I32:J32"/>
    <mergeCell ref="D33:F33"/>
    <mergeCell ref="I33:J33"/>
    <mergeCell ref="D34:F34"/>
    <mergeCell ref="I34:J34"/>
    <mergeCell ref="D35:F35"/>
    <mergeCell ref="I35:J35"/>
    <mergeCell ref="D42:F42"/>
    <mergeCell ref="I42:J42"/>
    <mergeCell ref="D43:F43"/>
    <mergeCell ref="I43:J43"/>
    <mergeCell ref="D44:F44"/>
    <mergeCell ref="I44:J44"/>
    <mergeCell ref="D45:F45"/>
    <mergeCell ref="I45:J45"/>
    <mergeCell ref="D46:F46"/>
    <mergeCell ref="I46:J46"/>
    <mergeCell ref="D47:F47"/>
    <mergeCell ref="I47:J47"/>
    <mergeCell ref="D48:F48"/>
    <mergeCell ref="I48:J48"/>
    <mergeCell ref="D49:F49"/>
    <mergeCell ref="I49:J49"/>
    <mergeCell ref="D53:J53"/>
    <mergeCell ref="D54:F54"/>
    <mergeCell ref="I54:J54"/>
    <mergeCell ref="D58:F58"/>
    <mergeCell ref="I58:J58"/>
    <mergeCell ref="D62:J62"/>
    <mergeCell ref="D63:F63"/>
    <mergeCell ref="I63:J63"/>
    <mergeCell ref="D64:F64"/>
    <mergeCell ref="I64:J64"/>
    <mergeCell ref="D55:F55"/>
    <mergeCell ref="I55:J55"/>
    <mergeCell ref="D56:F56"/>
    <mergeCell ref="I56:J56"/>
    <mergeCell ref="D57:F57"/>
    <mergeCell ref="I57:J57"/>
    <mergeCell ref="D80:F80"/>
    <mergeCell ref="I80:J80"/>
    <mergeCell ref="D65:F65"/>
    <mergeCell ref="I65:J65"/>
    <mergeCell ref="D66:F66"/>
    <mergeCell ref="I66:J66"/>
    <mergeCell ref="D67:F67"/>
    <mergeCell ref="I67:J67"/>
    <mergeCell ref="D68:F68"/>
    <mergeCell ref="I68:J68"/>
    <mergeCell ref="D69:F69"/>
    <mergeCell ref="I69:J69"/>
    <mergeCell ref="D8:I9"/>
    <mergeCell ref="D19:I21"/>
    <mergeCell ref="D28:I30"/>
    <mergeCell ref="D39:I40"/>
    <mergeCell ref="D50:I52"/>
    <mergeCell ref="D59:I61"/>
    <mergeCell ref="D107:F107"/>
    <mergeCell ref="I107:J107"/>
    <mergeCell ref="D108:F108"/>
    <mergeCell ref="I108:J108"/>
    <mergeCell ref="D102:F102"/>
    <mergeCell ref="I102:J102"/>
    <mergeCell ref="D82:F82"/>
    <mergeCell ref="I82:J82"/>
    <mergeCell ref="D70:F70"/>
    <mergeCell ref="I70:J70"/>
    <mergeCell ref="D74:J74"/>
    <mergeCell ref="D75:F75"/>
    <mergeCell ref="I75:J75"/>
    <mergeCell ref="D76:F76"/>
    <mergeCell ref="I76:J76"/>
    <mergeCell ref="D77:F77"/>
    <mergeCell ref="I77:J77"/>
    <mergeCell ref="D71:I73"/>
    <mergeCell ref="J8:J9"/>
    <mergeCell ref="J19:J21"/>
    <mergeCell ref="J28:J30"/>
    <mergeCell ref="J39:J40"/>
    <mergeCell ref="J50:J52"/>
    <mergeCell ref="J59:J61"/>
    <mergeCell ref="J71:J73"/>
    <mergeCell ref="J83:J85"/>
    <mergeCell ref="J103:J105"/>
    <mergeCell ref="D86:J86"/>
    <mergeCell ref="D87:F87"/>
    <mergeCell ref="I87:J87"/>
    <mergeCell ref="D88:F88"/>
    <mergeCell ref="I88:J88"/>
    <mergeCell ref="D89:F89"/>
    <mergeCell ref="I89:J89"/>
    <mergeCell ref="D90:F90"/>
    <mergeCell ref="I90:J90"/>
    <mergeCell ref="D78:F78"/>
    <mergeCell ref="I78:J78"/>
    <mergeCell ref="D79:F79"/>
    <mergeCell ref="I79:J79"/>
    <mergeCell ref="D81:F81"/>
    <mergeCell ref="I81:J81"/>
    <mergeCell ref="D114:F115"/>
    <mergeCell ref="G114:J115"/>
    <mergeCell ref="F112:F113"/>
    <mergeCell ref="G112:G113"/>
    <mergeCell ref="H112:H113"/>
    <mergeCell ref="I112:I113"/>
    <mergeCell ref="J112:J113"/>
    <mergeCell ref="D111:F111"/>
    <mergeCell ref="I111:J111"/>
    <mergeCell ref="D98:F98"/>
    <mergeCell ref="I98:J98"/>
    <mergeCell ref="D100:F100"/>
    <mergeCell ref="I100:J100"/>
    <mergeCell ref="D99:F99"/>
    <mergeCell ref="I99:J99"/>
    <mergeCell ref="D83:I85"/>
    <mergeCell ref="D103:I105"/>
    <mergeCell ref="D112:E113"/>
    <mergeCell ref="D91:F91"/>
    <mergeCell ref="I91:J91"/>
    <mergeCell ref="D106:J106"/>
    <mergeCell ref="D92:I94"/>
    <mergeCell ref="J92:J94"/>
    <mergeCell ref="D95:J95"/>
    <mergeCell ref="D96:F96"/>
    <mergeCell ref="I96:J96"/>
    <mergeCell ref="D97:F97"/>
    <mergeCell ref="I97:J97"/>
    <mergeCell ref="D109:F109"/>
    <mergeCell ref="I109:J109"/>
    <mergeCell ref="D110:F110"/>
    <mergeCell ref="I110:J110"/>
    <mergeCell ref="D101:F101"/>
  </mergeCells>
  <conditionalFormatting sqref="J8:J9">
    <cfRule type="cellIs" dxfId="14" priority="21" operator="greaterThan">
      <formula>11.9</formula>
    </cfRule>
  </conditionalFormatting>
  <conditionalFormatting sqref="J103:J105">
    <cfRule type="cellIs" dxfId="13" priority="15" operator="greaterThan">
      <formula>11.9</formula>
    </cfRule>
    <cfRule type="cellIs" dxfId="12" priority="16" operator="lessThan">
      <formula>12</formula>
    </cfRule>
    <cfRule type="cellIs" dxfId="11" priority="17" operator="greaterThan">
      <formula>11.9</formula>
    </cfRule>
    <cfRule type="cellIs" dxfId="10" priority="18" operator="lessThan">
      <formula>12</formula>
    </cfRule>
  </conditionalFormatting>
  <conditionalFormatting sqref="J8:J9 J19:J21 J28:J30 J83:J85 J71:J73 J59:J61 J50:J52 J39:J40">
    <cfRule type="cellIs" dxfId="9" priority="19" operator="greaterThan">
      <formula>11.9</formula>
    </cfRule>
    <cfRule type="cellIs" dxfId="8" priority="20" operator="lessThan">
      <formula>12</formula>
    </cfRule>
  </conditionalFormatting>
  <conditionalFormatting sqref="J19:J21 J28:J30 J39:J40 J83:J85 J71:J73 J59:J61 J50:J52">
    <cfRule type="cellIs" dxfId="7" priority="22" operator="greaterThan">
      <formula>11.9</formula>
    </cfRule>
  </conditionalFormatting>
  <conditionalFormatting sqref="J19 J28:J30 J39:J40 J83:J85 J71:J73 J59:J61 J50:J52">
    <cfRule type="cellIs" dxfId="6" priority="23" operator="lessThan">
      <formula>12</formula>
    </cfRule>
  </conditionalFormatting>
  <conditionalFormatting sqref="G114:J115">
    <cfRule type="cellIs" dxfId="5" priority="9" operator="greaterThan">
      <formula>11.9</formula>
    </cfRule>
    <cfRule type="cellIs" dxfId="4" priority="10" operator="lessThan">
      <formula>12</formula>
    </cfRule>
  </conditionalFormatting>
  <conditionalFormatting sqref="J92:J94">
    <cfRule type="cellIs" dxfId="3" priority="1" operator="greaterThan">
      <formula>11.9</formula>
    </cfRule>
    <cfRule type="cellIs" dxfId="2" priority="2" operator="lessThan">
      <formula>12</formula>
    </cfRule>
    <cfRule type="cellIs" dxfId="1" priority="3" operator="greaterThan">
      <formula>11.9</formula>
    </cfRule>
    <cfRule type="cellIs" dxfId="0" priority="4" operator="lessThan">
      <formula>12</formula>
    </cfRule>
  </conditionalFormatting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opLeftCell="A6" workbookViewId="0">
      <selection activeCell="A7" sqref="A7"/>
    </sheetView>
  </sheetViews>
  <sheetFormatPr defaultColWidth="8.81640625" defaultRowHeight="14.5"/>
  <cols>
    <col min="1" max="1" width="38.1796875" customWidth="1"/>
  </cols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13</v>
      </c>
    </row>
    <row r="6" spans="1:1">
      <c r="A6" t="s">
        <v>20</v>
      </c>
    </row>
    <row r="7" spans="1:1">
      <c r="A7" t="s">
        <v>48</v>
      </c>
    </row>
    <row r="8" spans="1:1">
      <c r="A8" t="s">
        <v>22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41</v>
      </c>
    </row>
    <row r="16" spans="1:1">
      <c r="A16" t="s">
        <v>55</v>
      </c>
    </row>
    <row r="17" spans="1:1">
      <c r="A17" t="s">
        <v>30</v>
      </c>
    </row>
    <row r="18" spans="1:1">
      <c r="A18" t="s">
        <v>56</v>
      </c>
    </row>
    <row r="19" spans="1:1">
      <c r="A19" t="s">
        <v>38</v>
      </c>
    </row>
    <row r="20" spans="1:1">
      <c r="A20" t="s">
        <v>57</v>
      </c>
    </row>
    <row r="21" spans="1:1">
      <c r="A21" t="s">
        <v>58</v>
      </c>
    </row>
    <row r="22" spans="1:1">
      <c r="A22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29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23</v>
      </c>
    </row>
    <row r="35" spans="1:1">
      <c r="A35" t="s">
        <v>70</v>
      </c>
    </row>
    <row r="36" spans="1:1">
      <c r="A36" t="s">
        <v>18</v>
      </c>
    </row>
    <row r="37" spans="1:1">
      <c r="A37" t="s">
        <v>71</v>
      </c>
    </row>
    <row r="38" spans="1:1">
      <c r="A38" t="s">
        <v>31</v>
      </c>
    </row>
    <row r="39" spans="1:1">
      <c r="A39" t="s">
        <v>39</v>
      </c>
    </row>
    <row r="40" spans="1:1">
      <c r="A40" t="s">
        <v>37</v>
      </c>
    </row>
    <row r="41" spans="1:1">
      <c r="A41" t="s">
        <v>72</v>
      </c>
    </row>
    <row r="42" spans="1:1">
      <c r="A42" t="s">
        <v>73</v>
      </c>
    </row>
    <row r="43" spans="1:1">
      <c r="A43" t="s">
        <v>25</v>
      </c>
    </row>
    <row r="44" spans="1:1">
      <c r="A44" t="s">
        <v>40</v>
      </c>
    </row>
    <row r="45" spans="1:1">
      <c r="A45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opLeftCell="A28" workbookViewId="0">
      <selection activeCell="M9" sqref="M9"/>
    </sheetView>
  </sheetViews>
  <sheetFormatPr defaultRowHeight="14.5"/>
  <sheetData>
    <row r="1" spans="1:13">
      <c r="A1" s="69" t="s">
        <v>85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spans="1:1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ht="15" thickBot="1">
      <c r="A7" s="58" t="s">
        <v>88</v>
      </c>
      <c r="B7" s="59"/>
      <c r="C7" s="59"/>
      <c r="D7" s="59"/>
      <c r="E7" s="59"/>
      <c r="F7" s="60"/>
      <c r="G7" s="13"/>
      <c r="H7" s="58" t="s">
        <v>89</v>
      </c>
      <c r="I7" s="59"/>
      <c r="J7" s="59"/>
      <c r="K7" s="59"/>
      <c r="L7" s="59"/>
      <c r="M7" s="60"/>
    </row>
    <row r="8" spans="1:13" ht="15" thickBot="1">
      <c r="A8" s="55" t="s">
        <v>86</v>
      </c>
      <c r="B8" s="56"/>
      <c r="C8" s="57"/>
      <c r="D8" s="11" t="s">
        <v>87</v>
      </c>
      <c r="E8" s="11" t="s">
        <v>121</v>
      </c>
      <c r="F8" s="11" t="s">
        <v>122</v>
      </c>
      <c r="G8" s="14"/>
      <c r="H8" s="64" t="s">
        <v>86</v>
      </c>
      <c r="I8" s="65"/>
      <c r="J8" s="66"/>
      <c r="K8" s="12" t="s">
        <v>87</v>
      </c>
      <c r="L8" s="11" t="s">
        <v>121</v>
      </c>
      <c r="M8" s="11" t="s">
        <v>122</v>
      </c>
    </row>
    <row r="9" spans="1:13">
      <c r="A9" s="53" t="s">
        <v>90</v>
      </c>
      <c r="B9" s="54"/>
      <c r="C9" s="54"/>
      <c r="D9" s="30">
        <v>3</v>
      </c>
      <c r="E9" s="30">
        <v>16.8</v>
      </c>
      <c r="F9" s="10">
        <f t="shared" ref="F9:F45" si="0">D9*E9</f>
        <v>50.400000000000006</v>
      </c>
      <c r="G9" s="14"/>
      <c r="H9" s="63" t="s">
        <v>97</v>
      </c>
      <c r="I9" s="62"/>
      <c r="J9" s="62"/>
      <c r="K9" s="6">
        <v>2</v>
      </c>
      <c r="L9" s="8">
        <v>16</v>
      </c>
      <c r="M9" s="10">
        <f t="shared" ref="M9:M18" si="1">K9*L9</f>
        <v>32</v>
      </c>
    </row>
    <row r="10" spans="1:13">
      <c r="A10" s="53" t="s">
        <v>91</v>
      </c>
      <c r="B10" s="54"/>
      <c r="C10" s="54"/>
      <c r="D10" s="30">
        <v>3</v>
      </c>
      <c r="E10" s="30">
        <v>18.66</v>
      </c>
      <c r="F10" s="10">
        <f t="shared" si="0"/>
        <v>55.980000000000004</v>
      </c>
      <c r="G10" s="14"/>
      <c r="H10" s="63" t="s">
        <v>55</v>
      </c>
      <c r="I10" s="62"/>
      <c r="J10" s="62"/>
      <c r="K10" s="6">
        <v>3</v>
      </c>
      <c r="L10" s="8">
        <v>15</v>
      </c>
      <c r="M10" s="10">
        <f t="shared" si="1"/>
        <v>45</v>
      </c>
    </row>
    <row r="11" spans="1:13">
      <c r="A11" s="53" t="s">
        <v>12</v>
      </c>
      <c r="B11" s="54"/>
      <c r="C11" s="54"/>
      <c r="D11" s="30">
        <v>3</v>
      </c>
      <c r="E11" s="30">
        <v>14.55</v>
      </c>
      <c r="F11" s="10">
        <f t="shared" si="0"/>
        <v>43.650000000000006</v>
      </c>
      <c r="G11" s="14"/>
      <c r="H11" s="63" t="s">
        <v>98</v>
      </c>
      <c r="I11" s="62"/>
      <c r="J11" s="62"/>
      <c r="K11" s="6">
        <v>3</v>
      </c>
      <c r="L11" s="8">
        <v>17.600000000000001</v>
      </c>
      <c r="M11" s="10">
        <f t="shared" si="1"/>
        <v>52.800000000000004</v>
      </c>
    </row>
    <row r="12" spans="1:13">
      <c r="A12" s="53" t="s">
        <v>92</v>
      </c>
      <c r="B12" s="54"/>
      <c r="C12" s="54"/>
      <c r="D12" s="8">
        <v>3</v>
      </c>
      <c r="E12" s="8">
        <v>15.4</v>
      </c>
      <c r="F12" s="10">
        <f t="shared" si="0"/>
        <v>46.2</v>
      </c>
      <c r="G12" s="14"/>
      <c r="H12" s="63" t="s">
        <v>99</v>
      </c>
      <c r="I12" s="62"/>
      <c r="J12" s="62"/>
      <c r="K12" s="6">
        <v>2</v>
      </c>
      <c r="L12" s="8">
        <v>17.8</v>
      </c>
      <c r="M12" s="10">
        <f t="shared" si="1"/>
        <v>35.6</v>
      </c>
    </row>
    <row r="13" spans="1:13">
      <c r="A13" s="53" t="s">
        <v>93</v>
      </c>
      <c r="B13" s="54"/>
      <c r="C13" s="54"/>
      <c r="D13" s="8">
        <v>4</v>
      </c>
      <c r="E13" s="8">
        <v>18.14</v>
      </c>
      <c r="F13" s="10">
        <f t="shared" si="0"/>
        <v>72.56</v>
      </c>
      <c r="G13" s="14"/>
      <c r="H13" s="63" t="s">
        <v>100</v>
      </c>
      <c r="I13" s="62"/>
      <c r="J13" s="62"/>
      <c r="K13" s="6">
        <v>3</v>
      </c>
      <c r="L13" s="8">
        <v>16.55</v>
      </c>
      <c r="M13" s="10">
        <f t="shared" si="1"/>
        <v>49.650000000000006</v>
      </c>
    </row>
    <row r="14" spans="1:13">
      <c r="A14" s="53" t="s">
        <v>103</v>
      </c>
      <c r="B14" s="54"/>
      <c r="C14" s="54"/>
      <c r="D14" s="8">
        <v>4</v>
      </c>
      <c r="E14" s="8">
        <v>19.03</v>
      </c>
      <c r="F14" s="10">
        <f t="shared" si="0"/>
        <v>76.12</v>
      </c>
      <c r="G14" s="14"/>
      <c r="H14" s="63" t="s">
        <v>101</v>
      </c>
      <c r="I14" s="62"/>
      <c r="J14" s="62"/>
      <c r="K14" s="8">
        <v>3</v>
      </c>
      <c r="L14" s="8">
        <v>17.100000000000001</v>
      </c>
      <c r="M14" s="10">
        <f t="shared" si="1"/>
        <v>51.300000000000004</v>
      </c>
    </row>
    <row r="15" spans="1:13">
      <c r="A15" s="53" t="s">
        <v>94</v>
      </c>
      <c r="B15" s="54"/>
      <c r="C15" s="54"/>
      <c r="D15" s="8">
        <v>4</v>
      </c>
      <c r="E15" s="8">
        <v>11.3</v>
      </c>
      <c r="F15" s="10">
        <f t="shared" si="0"/>
        <v>45.2</v>
      </c>
      <c r="G15" s="14"/>
      <c r="H15" s="63" t="s">
        <v>30</v>
      </c>
      <c r="I15" s="62"/>
      <c r="J15" s="62"/>
      <c r="K15" s="8">
        <v>2</v>
      </c>
      <c r="L15" s="8">
        <v>18.8</v>
      </c>
      <c r="M15" s="10">
        <f t="shared" si="1"/>
        <v>37.6</v>
      </c>
    </row>
    <row r="16" spans="1:13">
      <c r="A16" s="53" t="s">
        <v>18</v>
      </c>
      <c r="B16" s="54"/>
      <c r="C16" s="54"/>
      <c r="D16" s="8">
        <v>3</v>
      </c>
      <c r="E16" s="8">
        <v>15.5</v>
      </c>
      <c r="F16" s="10">
        <f t="shared" si="0"/>
        <v>46.5</v>
      </c>
      <c r="G16" s="14"/>
      <c r="H16" s="63" t="s">
        <v>107</v>
      </c>
      <c r="I16" s="62"/>
      <c r="J16" s="62"/>
      <c r="K16" s="8">
        <v>3</v>
      </c>
      <c r="L16" s="8">
        <v>17.100000000000001</v>
      </c>
      <c r="M16" s="10">
        <f t="shared" si="1"/>
        <v>51.300000000000004</v>
      </c>
    </row>
    <row r="17" spans="1:13">
      <c r="A17" s="53" t="s">
        <v>95</v>
      </c>
      <c r="B17" s="54"/>
      <c r="C17" s="54"/>
      <c r="D17" s="8">
        <v>4</v>
      </c>
      <c r="E17" s="8">
        <v>15.9</v>
      </c>
      <c r="F17" s="10">
        <f t="shared" si="0"/>
        <v>63.6</v>
      </c>
      <c r="G17" s="14"/>
      <c r="H17" s="61" t="s">
        <v>119</v>
      </c>
      <c r="I17" s="62"/>
      <c r="J17" s="62"/>
      <c r="K17" s="6"/>
      <c r="L17" s="6"/>
      <c r="M17" s="10">
        <f t="shared" si="1"/>
        <v>0</v>
      </c>
    </row>
    <row r="18" spans="1:13">
      <c r="A18" s="53" t="s">
        <v>23</v>
      </c>
      <c r="B18" s="54"/>
      <c r="C18" s="54"/>
      <c r="D18" s="8">
        <v>4</v>
      </c>
      <c r="E18" s="8">
        <v>18.100000000000001</v>
      </c>
      <c r="F18" s="10">
        <f t="shared" si="0"/>
        <v>72.400000000000006</v>
      </c>
      <c r="G18" s="14"/>
      <c r="H18" s="61" t="s">
        <v>120</v>
      </c>
      <c r="I18" s="62"/>
      <c r="J18" s="62"/>
      <c r="K18" s="6"/>
      <c r="L18" s="6"/>
      <c r="M18" s="10">
        <f t="shared" si="1"/>
        <v>0</v>
      </c>
    </row>
    <row r="19" spans="1:13">
      <c r="A19" s="53" t="s">
        <v>96</v>
      </c>
      <c r="B19" s="54"/>
      <c r="C19" s="54"/>
      <c r="D19" s="8">
        <v>3</v>
      </c>
      <c r="E19" s="8">
        <v>16.399999999999999</v>
      </c>
      <c r="F19" s="10">
        <f t="shared" si="0"/>
        <v>49.199999999999996</v>
      </c>
      <c r="G19" s="14"/>
      <c r="H19" s="31"/>
      <c r="I19" s="32"/>
      <c r="J19" s="32"/>
      <c r="K19" s="9"/>
      <c r="L19" s="9"/>
      <c r="M19" s="33"/>
    </row>
    <row r="20" spans="1:13">
      <c r="A20" s="53" t="s">
        <v>104</v>
      </c>
      <c r="B20" s="54"/>
      <c r="C20" s="54"/>
      <c r="D20" s="8">
        <v>3</v>
      </c>
      <c r="E20" s="8">
        <v>16.7</v>
      </c>
      <c r="F20" s="10">
        <f t="shared" si="0"/>
        <v>50.099999999999994</v>
      </c>
      <c r="G20" s="14"/>
      <c r="H20" s="31"/>
      <c r="I20" s="32"/>
      <c r="J20" s="32"/>
      <c r="K20" s="9"/>
      <c r="L20" s="9"/>
      <c r="M20" s="33"/>
    </row>
    <row r="21" spans="1:13">
      <c r="A21" s="28" t="s">
        <v>25</v>
      </c>
      <c r="B21" s="30"/>
      <c r="C21" s="30"/>
      <c r="D21" s="8">
        <v>3</v>
      </c>
      <c r="E21" s="8">
        <f>(84/100)*20</f>
        <v>16.8</v>
      </c>
      <c r="F21" s="10">
        <f t="shared" si="0"/>
        <v>50.400000000000006</v>
      </c>
      <c r="G21" s="14"/>
      <c r="H21" s="31"/>
      <c r="I21" s="32"/>
      <c r="J21" s="32"/>
      <c r="K21" s="9"/>
      <c r="L21" s="9"/>
      <c r="M21" s="33"/>
    </row>
    <row r="22" spans="1:13">
      <c r="A22" s="28" t="s">
        <v>70</v>
      </c>
      <c r="B22" s="30"/>
      <c r="C22" s="30"/>
      <c r="D22" s="8">
        <v>3</v>
      </c>
      <c r="E22" s="8">
        <f>(96.5/100)*20</f>
        <v>19.3</v>
      </c>
      <c r="F22" s="10">
        <f t="shared" si="0"/>
        <v>57.900000000000006</v>
      </c>
      <c r="G22" s="14"/>
      <c r="H22" s="31"/>
      <c r="I22" s="32"/>
      <c r="J22" s="32"/>
      <c r="K22" s="9"/>
      <c r="L22" s="9"/>
      <c r="M22" s="33"/>
    </row>
    <row r="23" spans="1:13">
      <c r="A23" s="28" t="s">
        <v>39</v>
      </c>
      <c r="B23" s="30"/>
      <c r="C23" s="30"/>
      <c r="D23" s="8">
        <v>3</v>
      </c>
      <c r="E23" s="8">
        <f>(88.5/100)*20</f>
        <v>17.7</v>
      </c>
      <c r="F23" s="10">
        <f t="shared" si="0"/>
        <v>53.099999999999994</v>
      </c>
      <c r="G23" s="14"/>
      <c r="H23" s="31"/>
      <c r="I23" s="32"/>
      <c r="J23" s="32"/>
      <c r="K23" s="9"/>
      <c r="L23" s="9"/>
      <c r="M23" s="33"/>
    </row>
    <row r="24" spans="1:13">
      <c r="A24" s="41" t="s">
        <v>78</v>
      </c>
      <c r="B24" s="41"/>
      <c r="C24" s="41"/>
      <c r="D24" s="8"/>
      <c r="E24" s="19"/>
      <c r="F24" s="10">
        <f t="shared" si="0"/>
        <v>0</v>
      </c>
      <c r="G24" s="15"/>
    </row>
    <row r="25" spans="1:13">
      <c r="A25" s="41" t="s">
        <v>76</v>
      </c>
      <c r="B25" s="41"/>
      <c r="C25" s="41"/>
      <c r="D25" s="19"/>
      <c r="E25" s="19"/>
      <c r="F25" s="10">
        <f t="shared" si="0"/>
        <v>0</v>
      </c>
      <c r="G25" s="15"/>
    </row>
    <row r="26" spans="1:13">
      <c r="A26" s="41" t="s">
        <v>81</v>
      </c>
      <c r="B26" s="41"/>
      <c r="C26" s="41"/>
      <c r="D26" s="19"/>
      <c r="E26" s="19"/>
      <c r="F26" s="10">
        <f t="shared" si="0"/>
        <v>0</v>
      </c>
      <c r="G26" s="15"/>
    </row>
    <row r="27" spans="1:13">
      <c r="A27" s="41" t="s">
        <v>82</v>
      </c>
      <c r="B27" s="41"/>
      <c r="C27" s="41"/>
      <c r="D27" s="8"/>
      <c r="E27" s="8"/>
      <c r="F27" s="10">
        <f t="shared" si="0"/>
        <v>0</v>
      </c>
      <c r="G27" s="15"/>
    </row>
    <row r="28" spans="1:13">
      <c r="A28" s="41" t="s">
        <v>35</v>
      </c>
      <c r="B28" s="41"/>
      <c r="C28" s="41"/>
      <c r="D28" s="8"/>
      <c r="E28" s="8"/>
      <c r="F28" s="10">
        <f t="shared" si="0"/>
        <v>0</v>
      </c>
      <c r="G28" s="15"/>
    </row>
    <row r="29" spans="1:13">
      <c r="A29" s="41" t="s">
        <v>84</v>
      </c>
      <c r="B29" s="41"/>
      <c r="C29" s="41"/>
      <c r="D29" s="8"/>
      <c r="E29" s="8"/>
      <c r="F29" s="10">
        <f t="shared" si="0"/>
        <v>0</v>
      </c>
      <c r="G29" s="15"/>
    </row>
    <row r="30" spans="1:13">
      <c r="A30" s="41" t="s">
        <v>28</v>
      </c>
      <c r="B30" s="41"/>
      <c r="C30" s="41"/>
      <c r="D30" s="8"/>
      <c r="E30" s="8"/>
      <c r="F30" s="10">
        <f t="shared" si="0"/>
        <v>0</v>
      </c>
      <c r="G30" s="15"/>
    </row>
    <row r="31" spans="1:13">
      <c r="A31" s="41" t="s">
        <v>29</v>
      </c>
      <c r="B31" s="41"/>
      <c r="C31" s="41"/>
      <c r="D31" s="8"/>
      <c r="E31" s="8"/>
      <c r="F31" s="10">
        <f t="shared" si="0"/>
        <v>0</v>
      </c>
      <c r="G31" s="15"/>
    </row>
    <row r="32" spans="1:13">
      <c r="A32" s="41" t="s">
        <v>83</v>
      </c>
      <c r="B32" s="41"/>
      <c r="C32" s="41"/>
      <c r="D32" s="8"/>
      <c r="E32" s="8"/>
      <c r="F32" s="10">
        <f t="shared" si="0"/>
        <v>0</v>
      </c>
      <c r="G32" s="15"/>
    </row>
    <row r="33" spans="1:13">
      <c r="A33" s="41" t="s">
        <v>52</v>
      </c>
      <c r="B33" s="41"/>
      <c r="C33" s="41"/>
      <c r="D33" s="8"/>
      <c r="E33" s="8"/>
      <c r="F33" s="10">
        <f t="shared" si="0"/>
        <v>0</v>
      </c>
      <c r="G33" s="15"/>
    </row>
    <row r="34" spans="1:13">
      <c r="A34" s="41" t="s">
        <v>112</v>
      </c>
      <c r="B34" s="41"/>
      <c r="C34" s="41"/>
      <c r="D34" s="8"/>
      <c r="E34" s="8"/>
      <c r="F34" s="10">
        <f t="shared" si="0"/>
        <v>0</v>
      </c>
      <c r="G34" s="15"/>
    </row>
    <row r="35" spans="1:13">
      <c r="A35" s="41" t="s">
        <v>109</v>
      </c>
      <c r="B35" s="41"/>
      <c r="C35" s="41"/>
      <c r="D35" s="8"/>
      <c r="E35" s="8"/>
      <c r="F35" s="10">
        <f t="shared" si="0"/>
        <v>0</v>
      </c>
      <c r="G35" s="15"/>
    </row>
    <row r="36" spans="1:13">
      <c r="A36" s="40" t="s">
        <v>118</v>
      </c>
      <c r="B36" s="40"/>
      <c r="C36" s="40"/>
      <c r="D36" s="8"/>
      <c r="E36" s="8"/>
      <c r="F36" s="10">
        <f t="shared" si="0"/>
        <v>0</v>
      </c>
      <c r="G36" s="15"/>
    </row>
    <row r="37" spans="1:13">
      <c r="A37" s="40" t="s">
        <v>111</v>
      </c>
      <c r="B37" s="40"/>
      <c r="C37" s="40"/>
      <c r="D37" s="8"/>
      <c r="E37" s="8"/>
      <c r="F37" s="10">
        <f t="shared" si="0"/>
        <v>0</v>
      </c>
      <c r="G37" s="15"/>
    </row>
    <row r="38" spans="1:13">
      <c r="A38" s="40" t="s">
        <v>37</v>
      </c>
      <c r="B38" s="40"/>
      <c r="C38" s="40"/>
      <c r="D38" s="8"/>
      <c r="E38" s="8"/>
      <c r="F38" s="10">
        <f t="shared" si="0"/>
        <v>0</v>
      </c>
      <c r="G38" s="15"/>
    </row>
    <row r="39" spans="1:13">
      <c r="A39" s="40" t="s">
        <v>36</v>
      </c>
      <c r="B39" s="40"/>
      <c r="C39" s="40"/>
      <c r="D39" s="8"/>
      <c r="E39" s="8"/>
      <c r="F39" s="10">
        <f t="shared" si="0"/>
        <v>0</v>
      </c>
      <c r="G39" s="15"/>
    </row>
    <row r="40" spans="1:13">
      <c r="A40" s="40" t="s">
        <v>110</v>
      </c>
      <c r="B40" s="40"/>
      <c r="C40" s="40"/>
      <c r="D40" s="8"/>
      <c r="E40" s="8"/>
      <c r="F40" s="10">
        <f t="shared" si="0"/>
        <v>0</v>
      </c>
      <c r="G40" s="15"/>
    </row>
    <row r="41" spans="1:13">
      <c r="A41" s="40" t="s">
        <v>63</v>
      </c>
      <c r="B41" s="40"/>
      <c r="C41" s="40"/>
      <c r="D41" s="8"/>
      <c r="E41" s="8"/>
      <c r="F41" s="10">
        <f t="shared" si="0"/>
        <v>0</v>
      </c>
      <c r="G41" s="15"/>
      <c r="H41" s="63"/>
      <c r="I41" s="62"/>
      <c r="J41" s="62"/>
      <c r="K41" s="6"/>
      <c r="L41" s="6"/>
      <c r="M41" s="10"/>
    </row>
    <row r="42" spans="1:13">
      <c r="A42" s="40" t="s">
        <v>40</v>
      </c>
      <c r="B42" s="40"/>
      <c r="C42" s="40"/>
      <c r="D42" s="8"/>
      <c r="E42" s="8"/>
      <c r="F42" s="10">
        <f t="shared" si="0"/>
        <v>0</v>
      </c>
      <c r="G42" s="15"/>
      <c r="H42" s="20"/>
      <c r="I42" s="21"/>
      <c r="J42" s="21"/>
      <c r="K42" s="22"/>
      <c r="L42" s="22"/>
      <c r="M42" s="10"/>
    </row>
    <row r="43" spans="1:13">
      <c r="A43" s="40" t="s">
        <v>116</v>
      </c>
      <c r="B43" s="40"/>
      <c r="C43" s="40"/>
      <c r="D43" s="8"/>
      <c r="E43" s="8"/>
      <c r="F43" s="10">
        <f t="shared" si="0"/>
        <v>0</v>
      </c>
      <c r="G43" s="15"/>
      <c r="H43" s="20"/>
      <c r="I43" s="21"/>
      <c r="J43" s="21"/>
      <c r="K43" s="22"/>
      <c r="L43" s="22"/>
      <c r="M43" s="10"/>
    </row>
    <row r="44" spans="1:13">
      <c r="A44" s="40" t="s">
        <v>115</v>
      </c>
      <c r="B44" s="40"/>
      <c r="C44" s="40"/>
      <c r="D44" s="8"/>
      <c r="E44" s="8"/>
      <c r="F44" s="10">
        <f t="shared" si="0"/>
        <v>0</v>
      </c>
      <c r="G44" s="15"/>
      <c r="H44" s="20"/>
      <c r="I44" s="21"/>
      <c r="J44" s="21"/>
      <c r="K44" s="22"/>
      <c r="L44" s="22"/>
      <c r="M44" s="10"/>
    </row>
    <row r="45" spans="1:13">
      <c r="A45" s="40" t="s">
        <v>41</v>
      </c>
      <c r="B45" s="40"/>
      <c r="C45" s="40"/>
      <c r="D45" s="8"/>
      <c r="E45" s="8"/>
      <c r="F45" s="10">
        <f t="shared" si="0"/>
        <v>0</v>
      </c>
      <c r="G45" s="15"/>
      <c r="H45" s="20"/>
      <c r="I45" s="21"/>
      <c r="J45" s="21"/>
      <c r="K45" s="22"/>
      <c r="L45" s="22"/>
      <c r="M45" s="10"/>
    </row>
    <row r="46" spans="1:13">
      <c r="A46" s="70" t="s">
        <v>11</v>
      </c>
      <c r="B46" s="71"/>
      <c r="C46" s="71"/>
      <c r="D46" s="71">
        <f>SUM(D9:D45)</f>
        <v>50</v>
      </c>
      <c r="E46" s="9"/>
      <c r="F46" s="72">
        <f>SUM(F9:F45)</f>
        <v>833.31000000000006</v>
      </c>
      <c r="G46" s="16"/>
      <c r="H46" s="70" t="s">
        <v>11</v>
      </c>
      <c r="I46" s="71"/>
      <c r="J46" s="71"/>
      <c r="K46" s="71">
        <f>SUM(K9:K16)</f>
        <v>21</v>
      </c>
      <c r="L46" s="9"/>
      <c r="M46" s="72">
        <f>SUM(M9:M16)</f>
        <v>355.25000000000006</v>
      </c>
    </row>
    <row r="47" spans="1:13">
      <c r="A47" s="70"/>
      <c r="B47" s="71"/>
      <c r="C47" s="71"/>
      <c r="D47" s="71"/>
      <c r="E47" s="9"/>
      <c r="F47" s="72"/>
      <c r="G47" s="16"/>
      <c r="H47" s="70"/>
      <c r="I47" s="71"/>
      <c r="J47" s="71"/>
      <c r="K47" s="71"/>
      <c r="L47" s="9"/>
      <c r="M47" s="72"/>
    </row>
    <row r="48" spans="1:13">
      <c r="A48" s="73" t="s">
        <v>102</v>
      </c>
      <c r="B48" s="74"/>
      <c r="C48" s="74"/>
      <c r="D48" s="75">
        <f>F46/D46</f>
        <v>16.6662</v>
      </c>
      <c r="E48" s="75"/>
      <c r="F48" s="76"/>
      <c r="G48" s="17"/>
      <c r="H48" s="73" t="s">
        <v>105</v>
      </c>
      <c r="I48" s="74"/>
      <c r="J48" s="74"/>
      <c r="K48" s="75">
        <f>M46/K46</f>
        <v>16.916666666666668</v>
      </c>
      <c r="L48" s="75"/>
      <c r="M48" s="76"/>
    </row>
    <row r="49" spans="1:13">
      <c r="A49" s="73"/>
      <c r="B49" s="74"/>
      <c r="C49" s="74"/>
      <c r="D49" s="75"/>
      <c r="E49" s="75"/>
      <c r="F49" s="76"/>
      <c r="G49" s="17"/>
      <c r="H49" s="73"/>
      <c r="I49" s="74"/>
      <c r="J49" s="74"/>
      <c r="K49" s="75"/>
      <c r="L49" s="75"/>
      <c r="M49" s="76"/>
    </row>
    <row r="50" spans="1:13" ht="21">
      <c r="A50" s="67" t="s">
        <v>106</v>
      </c>
      <c r="B50" s="67"/>
      <c r="C50" s="67"/>
      <c r="D50" s="67"/>
      <c r="E50" s="67"/>
      <c r="F50" s="67"/>
      <c r="G50" s="18"/>
      <c r="H50" s="68">
        <f>SUM(M46,F46)/SUM(K46,D46)</f>
        <v>16.740281690140847</v>
      </c>
      <c r="I50" s="68"/>
      <c r="J50" s="68"/>
      <c r="K50" s="68"/>
      <c r="L50" s="68"/>
      <c r="M50" s="68"/>
    </row>
    <row r="51" spans="1:13" ht="21">
      <c r="A51" s="67"/>
      <c r="B51" s="67"/>
      <c r="C51" s="67"/>
      <c r="D51" s="67"/>
      <c r="E51" s="67"/>
      <c r="F51" s="67"/>
      <c r="G51" s="18"/>
      <c r="H51" s="68"/>
      <c r="I51" s="68"/>
      <c r="J51" s="68"/>
      <c r="K51" s="68"/>
      <c r="L51" s="68"/>
      <c r="M51" s="68"/>
    </row>
    <row r="52" spans="1:13" ht="21">
      <c r="A52" s="67"/>
      <c r="B52" s="67"/>
      <c r="C52" s="67"/>
      <c r="D52" s="67"/>
      <c r="E52" s="67"/>
      <c r="F52" s="67"/>
      <c r="G52" s="18"/>
      <c r="H52" s="68"/>
      <c r="I52" s="68"/>
      <c r="J52" s="68"/>
      <c r="K52" s="68"/>
      <c r="L52" s="68"/>
      <c r="M52" s="68"/>
    </row>
    <row r="53" spans="1:13" ht="21">
      <c r="A53" s="67"/>
      <c r="B53" s="67"/>
      <c r="C53" s="67"/>
      <c r="D53" s="67"/>
      <c r="E53" s="67"/>
      <c r="F53" s="67"/>
      <c r="G53" s="18"/>
      <c r="H53" s="68"/>
      <c r="I53" s="68"/>
      <c r="J53" s="68"/>
      <c r="K53" s="68"/>
      <c r="L53" s="68"/>
      <c r="M53" s="68"/>
    </row>
    <row r="54" spans="1:13">
      <c r="H54" t="s">
        <v>113</v>
      </c>
    </row>
  </sheetData>
  <mergeCells count="62">
    <mergeCell ref="A50:F53"/>
    <mergeCell ref="H50:M53"/>
    <mergeCell ref="A1:M6"/>
    <mergeCell ref="A46:C47"/>
    <mergeCell ref="D46:D47"/>
    <mergeCell ref="F46:F47"/>
    <mergeCell ref="A48:C49"/>
    <mergeCell ref="D48:F49"/>
    <mergeCell ref="H46:J47"/>
    <mergeCell ref="K46:K47"/>
    <mergeCell ref="M46:M47"/>
    <mergeCell ref="H48:J49"/>
    <mergeCell ref="K48:M49"/>
    <mergeCell ref="H9:J9"/>
    <mergeCell ref="H10:J10"/>
    <mergeCell ref="H16:J16"/>
    <mergeCell ref="H17:J17"/>
    <mergeCell ref="H18:J18"/>
    <mergeCell ref="H41:J41"/>
    <mergeCell ref="H7:M7"/>
    <mergeCell ref="H8:J8"/>
    <mergeCell ref="H11:J11"/>
    <mergeCell ref="H12:J12"/>
    <mergeCell ref="H13:J13"/>
    <mergeCell ref="H14:J14"/>
    <mergeCell ref="H15:J15"/>
    <mergeCell ref="A8:C8"/>
    <mergeCell ref="A7:F7"/>
    <mergeCell ref="A28:C28"/>
    <mergeCell ref="A29:C29"/>
    <mergeCell ref="A30:C30"/>
    <mergeCell ref="A24:C24"/>
    <mergeCell ref="A25:C25"/>
    <mergeCell ref="A26:C26"/>
    <mergeCell ref="A27:C2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43:C43"/>
    <mergeCell ref="A44:C44"/>
    <mergeCell ref="A45:C45"/>
    <mergeCell ref="A32:C32"/>
    <mergeCell ref="A33:C33"/>
    <mergeCell ref="A34:C34"/>
    <mergeCell ref="A35:C35"/>
    <mergeCell ref="A36:C36"/>
    <mergeCell ref="A37:C37"/>
    <mergeCell ref="A38:C38"/>
    <mergeCell ref="A31:C31"/>
    <mergeCell ref="A39:C39"/>
    <mergeCell ref="A40:C40"/>
    <mergeCell ref="A41:C41"/>
    <mergeCell ref="A42:C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RESULTS</vt:lpstr>
      <vt:lpstr>FINAL RESULT</vt:lpstr>
      <vt:lpstr>COURSES</vt:lpstr>
      <vt:lpstr>Major gpa and General gpa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jmutangana</dc:creator>
  <cp:lastModifiedBy>user</cp:lastModifiedBy>
  <dcterms:created xsi:type="dcterms:W3CDTF">2025-05-22T18:43:00Z</dcterms:created>
  <dcterms:modified xsi:type="dcterms:W3CDTF">2026-09-02T01:12:17Z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1033-12.2.0.22530</vt:lpwstr>
  </property>
</Properties>
</file>