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es\Undergradauates\AUCA\Marks\"/>
    </mc:Choice>
  </mc:AlternateContent>
  <xr:revisionPtr revIDLastSave="0" documentId="13_ncr:1_{A60968E6-AB1E-48E4-B9CE-916B68C991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" sheetId="1" r:id="rId1"/>
    <sheet name="L" sheetId="2" r:id="rId2"/>
    <sheet name="F" sheetId="4" r:id="rId3"/>
    <sheet name="I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50" i="5"/>
  <c r="I51" i="5"/>
  <c r="I52" i="5"/>
  <c r="I53" i="5"/>
  <c r="I54" i="5"/>
  <c r="I55" i="5"/>
  <c r="I56" i="5"/>
  <c r="I57" i="5"/>
  <c r="I58" i="5"/>
  <c r="I59" i="5"/>
  <c r="I60" i="5"/>
  <c r="I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2" i="4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2" i="2"/>
  <c r="I16" i="1"/>
  <c r="I24" i="1"/>
  <c r="I32" i="1"/>
  <c r="I40" i="1"/>
  <c r="I49" i="1"/>
  <c r="I57" i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50" i="5"/>
  <c r="H51" i="5"/>
  <c r="H52" i="5"/>
  <c r="H53" i="5"/>
  <c r="H54" i="5"/>
  <c r="H55" i="5"/>
  <c r="H56" i="5"/>
  <c r="H57" i="5"/>
  <c r="H58" i="5"/>
  <c r="H59" i="5"/>
  <c r="H60" i="5"/>
  <c r="H2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2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2" i="2"/>
  <c r="H9" i="1"/>
  <c r="I9" i="1" s="1"/>
  <c r="H16" i="1"/>
  <c r="H17" i="1"/>
  <c r="I17" i="1" s="1"/>
  <c r="H24" i="1"/>
  <c r="H25" i="1"/>
  <c r="I25" i="1" s="1"/>
  <c r="H32" i="1"/>
  <c r="H33" i="1"/>
  <c r="I33" i="1" s="1"/>
  <c r="H40" i="1"/>
  <c r="H41" i="1"/>
  <c r="I41" i="1" s="1"/>
  <c r="H49" i="1"/>
  <c r="H50" i="1"/>
  <c r="I50" i="1" s="1"/>
  <c r="H57" i="1"/>
  <c r="H58" i="1"/>
  <c r="I58" i="1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50" i="5"/>
  <c r="G51" i="5"/>
  <c r="G52" i="5"/>
  <c r="G53" i="5"/>
  <c r="G54" i="5"/>
  <c r="G55" i="5"/>
  <c r="G56" i="5"/>
  <c r="G57" i="5"/>
  <c r="G58" i="5"/>
  <c r="G59" i="5"/>
  <c r="G60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2" i="2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G17" i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G23" i="1"/>
  <c r="H23" i="1" s="1"/>
  <c r="I23" i="1" s="1"/>
  <c r="G24" i="1"/>
  <c r="G25" i="1"/>
  <c r="G26" i="1"/>
  <c r="H26" i="1" s="1"/>
  <c r="I26" i="1" s="1"/>
  <c r="G27" i="1"/>
  <c r="H27" i="1" s="1"/>
  <c r="I27" i="1" s="1"/>
  <c r="G28" i="1"/>
  <c r="H28" i="1" s="1"/>
  <c r="I28" i="1" s="1"/>
  <c r="G29" i="1"/>
  <c r="H29" i="1" s="1"/>
  <c r="I29" i="1" s="1"/>
  <c r="G30" i="1"/>
  <c r="H30" i="1" s="1"/>
  <c r="I30" i="1" s="1"/>
  <c r="G31" i="1"/>
  <c r="H31" i="1" s="1"/>
  <c r="I31" i="1" s="1"/>
  <c r="G32" i="1"/>
  <c r="G33" i="1"/>
  <c r="G34" i="1"/>
  <c r="H34" i="1" s="1"/>
  <c r="I34" i="1" s="1"/>
  <c r="G35" i="1"/>
  <c r="H35" i="1" s="1"/>
  <c r="I35" i="1" s="1"/>
  <c r="G36" i="1"/>
  <c r="H36" i="1" s="1"/>
  <c r="I36" i="1" s="1"/>
  <c r="G37" i="1"/>
  <c r="H37" i="1" s="1"/>
  <c r="I37" i="1" s="1"/>
  <c r="G38" i="1"/>
  <c r="H38" i="1" s="1"/>
  <c r="I38" i="1" s="1"/>
  <c r="G39" i="1"/>
  <c r="H39" i="1" s="1"/>
  <c r="I39" i="1" s="1"/>
  <c r="G40" i="1"/>
  <c r="G41" i="1"/>
  <c r="G42" i="1"/>
  <c r="H42" i="1" s="1"/>
  <c r="I42" i="1" s="1"/>
  <c r="G43" i="1"/>
  <c r="H43" i="1" s="1"/>
  <c r="I43" i="1" s="1"/>
  <c r="G44" i="1"/>
  <c r="H44" i="1" s="1"/>
  <c r="I44" i="1" s="1"/>
  <c r="G45" i="1"/>
  <c r="H45" i="1" s="1"/>
  <c r="I45" i="1" s="1"/>
  <c r="G46" i="1"/>
  <c r="H46" i="1" s="1"/>
  <c r="I46" i="1" s="1"/>
  <c r="G47" i="1"/>
  <c r="H47" i="1" s="1"/>
  <c r="I47" i="1" s="1"/>
  <c r="G49" i="1"/>
  <c r="G50" i="1"/>
  <c r="G51" i="1"/>
  <c r="H51" i="1" s="1"/>
  <c r="I51" i="1" s="1"/>
  <c r="G52" i="1"/>
  <c r="H52" i="1" s="1"/>
  <c r="I52" i="1" s="1"/>
  <c r="G53" i="1"/>
  <c r="H53" i="1" s="1"/>
  <c r="I53" i="1" s="1"/>
  <c r="G54" i="1"/>
  <c r="H54" i="1" s="1"/>
  <c r="I54" i="1" s="1"/>
  <c r="G55" i="1"/>
  <c r="H55" i="1" s="1"/>
  <c r="I55" i="1" s="1"/>
  <c r="G56" i="1"/>
  <c r="H56" i="1" s="1"/>
  <c r="I56" i="1" s="1"/>
  <c r="G57" i="1"/>
  <c r="G58" i="1"/>
  <c r="G59" i="1"/>
  <c r="H59" i="1" s="1"/>
  <c r="I59" i="1" s="1"/>
  <c r="G60" i="1"/>
  <c r="H60" i="1" s="1"/>
  <c r="I60" i="1" s="1"/>
  <c r="G61" i="1"/>
  <c r="H61" i="1" s="1"/>
  <c r="I61" i="1" s="1"/>
  <c r="G62" i="1"/>
  <c r="H62" i="1" s="1"/>
  <c r="I62" i="1" s="1"/>
  <c r="G63" i="1"/>
  <c r="H63" i="1" s="1"/>
  <c r="I63" i="1" s="1"/>
  <c r="G2" i="1"/>
  <c r="H2" i="1" s="1"/>
  <c r="I2" i="1" s="1"/>
</calcChain>
</file>

<file path=xl/sharedStrings.xml><?xml version="1.0" encoding="utf-8"?>
<sst xmlns="http://schemas.openxmlformats.org/spreadsheetml/2006/main" count="554" uniqueCount="522">
  <si>
    <t>Student Number</t>
  </si>
  <si>
    <t>Student Name</t>
  </si>
  <si>
    <t>25140</t>
  </si>
  <si>
    <t>Nkuranga Olivier</t>
  </si>
  <si>
    <t>26464</t>
  </si>
  <si>
    <t xml:space="preserve">Benineza Moise </t>
  </si>
  <si>
    <t>26748</t>
  </si>
  <si>
    <t>Reteno Tounkara Mady Baba</t>
  </si>
  <si>
    <t>26858</t>
  </si>
  <si>
    <t>Nkubiri Rugero Tresor</t>
  </si>
  <si>
    <t>27045</t>
  </si>
  <si>
    <t>Gatesi Deborah</t>
  </si>
  <si>
    <t>27088</t>
  </si>
  <si>
    <t>Mushimire Victor</t>
  </si>
  <si>
    <t>27103</t>
  </si>
  <si>
    <t>Igikwiye Bayingana Yvan</t>
  </si>
  <si>
    <t>27121</t>
  </si>
  <si>
    <t>Isimbi Mushimire Iris</t>
  </si>
  <si>
    <t>27189</t>
  </si>
  <si>
    <t>Bahati Arsene</t>
  </si>
  <si>
    <t>27282</t>
  </si>
  <si>
    <t>Kwizera Bless</t>
  </si>
  <si>
    <t>27288</t>
  </si>
  <si>
    <t>Ndayishimiye Moise</t>
  </si>
  <si>
    <t>27290</t>
  </si>
  <si>
    <t>Rutaganda Samuel</t>
  </si>
  <si>
    <t>27492</t>
  </si>
  <si>
    <t>Cyizere Siborurema Elie</t>
  </si>
  <si>
    <t>27632</t>
  </si>
  <si>
    <t>Irakoze Tessy Mick</t>
  </si>
  <si>
    <t>27640</t>
  </si>
  <si>
    <t>Rurebwayire ampoze Ariella</t>
  </si>
  <si>
    <t>27668</t>
  </si>
  <si>
    <t>Nshuti Mugabo Arsene</t>
  </si>
  <si>
    <t>27670</t>
  </si>
  <si>
    <t>Ngabonziza Kim Gakuba</t>
  </si>
  <si>
    <t>27673</t>
  </si>
  <si>
    <t>Ucyeye Gabriella</t>
  </si>
  <si>
    <t>27677</t>
  </si>
  <si>
    <t>Singiza Gihozo Macrine</t>
  </si>
  <si>
    <t>27716</t>
  </si>
  <si>
    <t>Cito Douce Bisusa</t>
  </si>
  <si>
    <t>27769</t>
  </si>
  <si>
    <t>Umuhoza Chanisse</t>
  </si>
  <si>
    <t>27786</t>
  </si>
  <si>
    <t>Kambogo Mugabo Bonheur</t>
  </si>
  <si>
    <t>27796</t>
  </si>
  <si>
    <t>Niyonsaba Christine</t>
  </si>
  <si>
    <t>27798</t>
  </si>
  <si>
    <t>Ntihemuka Benjamin</t>
  </si>
  <si>
    <t>27806</t>
  </si>
  <si>
    <t>Mutarutwa Immaculate</t>
  </si>
  <si>
    <t>27856</t>
  </si>
  <si>
    <t>Manzi Ephrem</t>
  </si>
  <si>
    <t>27857</t>
  </si>
  <si>
    <t>Mbishibishi Flavien</t>
  </si>
  <si>
    <t>27875</t>
  </si>
  <si>
    <t>Shimwa Sekuture Nicole</t>
  </si>
  <si>
    <t>27893</t>
  </si>
  <si>
    <t>Uwakeza Kamikazi Merveille</t>
  </si>
  <si>
    <t>27895</t>
  </si>
  <si>
    <t>Igiraneza Diane</t>
  </si>
  <si>
    <t>27896</t>
  </si>
  <si>
    <t xml:space="preserve">Imani Nzeyimana David </t>
  </si>
  <si>
    <t>27928</t>
  </si>
  <si>
    <t>Bikorimana Eric</t>
  </si>
  <si>
    <t>27959</t>
  </si>
  <si>
    <t>Nankunda Winny</t>
  </si>
  <si>
    <t>27973</t>
  </si>
  <si>
    <t>Teta Kevine</t>
  </si>
  <si>
    <t>28049</t>
  </si>
  <si>
    <t>Havugimana Asiimwe Victoria</t>
  </si>
  <si>
    <t>28068</t>
  </si>
  <si>
    <t>Rutikanga Issac</t>
  </si>
  <si>
    <t>28217</t>
  </si>
  <si>
    <t>Murisa Ivan</t>
  </si>
  <si>
    <t>28247</t>
  </si>
  <si>
    <t>Shema Constant</t>
  </si>
  <si>
    <t>28291</t>
  </si>
  <si>
    <t>Azabe Benine</t>
  </si>
  <si>
    <t>28293</t>
  </si>
  <si>
    <t>Rugema Bill gates</t>
  </si>
  <si>
    <t>28301</t>
  </si>
  <si>
    <t xml:space="preserve">Sesonga Raphael </t>
  </si>
  <si>
    <t>28321</t>
  </si>
  <si>
    <t>Sebatware Bonny</t>
  </si>
  <si>
    <t>28324</t>
  </si>
  <si>
    <t>Hirwa Joshua</t>
  </si>
  <si>
    <t>28327</t>
  </si>
  <si>
    <t>Iradukunda Marie Sandrine</t>
  </si>
  <si>
    <t>28372</t>
  </si>
  <si>
    <t>Karengera Fred</t>
  </si>
  <si>
    <t>28385</t>
  </si>
  <si>
    <t xml:space="preserve">Higiro Iradukunda David </t>
  </si>
  <si>
    <t>28405</t>
  </si>
  <si>
    <t>Kiiza James</t>
  </si>
  <si>
    <t>28418</t>
  </si>
  <si>
    <t>Uwingeli Romeo</t>
  </si>
  <si>
    <t>28421</t>
  </si>
  <si>
    <t>Utuje Ange Fidele</t>
  </si>
  <si>
    <t>28426</t>
  </si>
  <si>
    <t>Kwizera Prince 1</t>
  </si>
  <si>
    <t>28450</t>
  </si>
  <si>
    <t>Gatete Odry</t>
  </si>
  <si>
    <t>28459</t>
  </si>
  <si>
    <t>Kamariza Diane</t>
  </si>
  <si>
    <t>28471</t>
  </si>
  <si>
    <t>Keza Ruzindaza Ornella</t>
  </si>
  <si>
    <t>28750</t>
  </si>
  <si>
    <t>Rwabuneza Mark</t>
  </si>
  <si>
    <t>28753</t>
  </si>
  <si>
    <t>Uwase Lisa Ornella</t>
  </si>
  <si>
    <t>28820</t>
  </si>
  <si>
    <t>Uganje Lorie Altessa</t>
  </si>
  <si>
    <t>28859</t>
  </si>
  <si>
    <t>Mugisha Christian Adore</t>
  </si>
  <si>
    <t>29019</t>
  </si>
  <si>
    <t xml:space="preserve">Hirwa Kayihura Kevin </t>
  </si>
  <si>
    <t>29056</t>
  </si>
  <si>
    <t>Nkubana Guy</t>
  </si>
  <si>
    <t>29197</t>
  </si>
  <si>
    <t>Karuranga Davy Karl</t>
  </si>
  <si>
    <t>Isaro Rubanguka Roxane</t>
  </si>
  <si>
    <t>25771</t>
  </si>
  <si>
    <t>Ngabo William</t>
  </si>
  <si>
    <t>26462</t>
  </si>
  <si>
    <t>Armstrong Solomon Amiso</t>
  </si>
  <si>
    <t>27139</t>
  </si>
  <si>
    <t>Inema Hirwa Claude Landry</t>
  </si>
  <si>
    <t>27180</t>
  </si>
  <si>
    <t>Uwase Gentille</t>
  </si>
  <si>
    <t>27278</t>
  </si>
  <si>
    <t>Ishimwe Fabrice</t>
  </si>
  <si>
    <t>27399</t>
  </si>
  <si>
    <t>Uwimbabazi Sandrine</t>
  </si>
  <si>
    <t>27427</t>
  </si>
  <si>
    <t>Ishimwe Susurutsa Nardin</t>
  </si>
  <si>
    <t>27528</t>
  </si>
  <si>
    <t>Januario Inocencio Henrique</t>
  </si>
  <si>
    <t>27684</t>
  </si>
  <si>
    <t>Kunda Tabitha</t>
  </si>
  <si>
    <t>27688</t>
  </si>
  <si>
    <t>Mutamba Alice</t>
  </si>
  <si>
    <t>27725</t>
  </si>
  <si>
    <t>Umuhire Eliza</t>
  </si>
  <si>
    <t>27744</t>
  </si>
  <si>
    <t>Ishimwe Eric</t>
  </si>
  <si>
    <t>27751</t>
  </si>
  <si>
    <t>Ishimwe Esther</t>
  </si>
  <si>
    <t>27834</t>
  </si>
  <si>
    <t>Gasarabwe Soleil</t>
  </si>
  <si>
    <t>27866</t>
  </si>
  <si>
    <t>Igiraneza Winny Berlie</t>
  </si>
  <si>
    <t>27888</t>
  </si>
  <si>
    <t xml:space="preserve">Shema Aristide </t>
  </si>
  <si>
    <t>27897</t>
  </si>
  <si>
    <t>Uwineza Delphine</t>
  </si>
  <si>
    <t>27931</t>
  </si>
  <si>
    <t>Uwitonze Philippe</t>
  </si>
  <si>
    <t>27933</t>
  </si>
  <si>
    <t>Ikuzo Pearl Bless</t>
  </si>
  <si>
    <t>27947</t>
  </si>
  <si>
    <t>Rwalinda Irebe Christa</t>
  </si>
  <si>
    <t>27948</t>
  </si>
  <si>
    <t>Rutaremara Angel Faith</t>
  </si>
  <si>
    <t>27966</t>
  </si>
  <si>
    <t xml:space="preserve">Ineza Tania </t>
  </si>
  <si>
    <t>28031</t>
  </si>
  <si>
    <t>Inezayase Isabelle</t>
  </si>
  <si>
    <t>28037</t>
  </si>
  <si>
    <t>Iradukunda Nicole</t>
  </si>
  <si>
    <t>28038</t>
  </si>
  <si>
    <t>Ngarambe Owen Bruno</t>
  </si>
  <si>
    <t>28041</t>
  </si>
  <si>
    <t>Adam Abakar Kayaye Khadidja</t>
  </si>
  <si>
    <t>28046</t>
  </si>
  <si>
    <t>Mutayoba Jabo Yvon</t>
  </si>
  <si>
    <t>28073</t>
  </si>
  <si>
    <t>Keza Edwina</t>
  </si>
  <si>
    <t>28208</t>
  </si>
  <si>
    <t>Munyemana Umuhoza Delice Christell</t>
  </si>
  <si>
    <t>28210</t>
  </si>
  <si>
    <t>Rwangabwoba Igiraneza Marie Paul</t>
  </si>
  <si>
    <t>28215</t>
  </si>
  <si>
    <t>Nelia Pius Okumu</t>
  </si>
  <si>
    <t>28220</t>
  </si>
  <si>
    <t>Himba Aimee Mireille</t>
  </si>
  <si>
    <t>28226</t>
  </si>
  <si>
    <t>Maniraguha Jean Bosco</t>
  </si>
  <si>
    <t>28233</t>
  </si>
  <si>
    <t>Ndahimana Jean Paul</t>
  </si>
  <si>
    <t>28241</t>
  </si>
  <si>
    <t>Irumva Darcy</t>
  </si>
  <si>
    <t>28248</t>
  </si>
  <si>
    <t>Niyibizi Olivier</t>
  </si>
  <si>
    <t>28251</t>
  </si>
  <si>
    <t xml:space="preserve">Batamuriza Hope </t>
  </si>
  <si>
    <t>28256</t>
  </si>
  <si>
    <t>Mushimiyimana  Josiane</t>
  </si>
  <si>
    <t>28264</t>
  </si>
  <si>
    <t xml:space="preserve">Irakoze Nshuti Fabrice </t>
  </si>
  <si>
    <t>28275</t>
  </si>
  <si>
    <t>Hadiel Mohamed Osman Elyas</t>
  </si>
  <si>
    <t>28283</t>
  </si>
  <si>
    <t xml:space="preserve">Mpore Ernesto </t>
  </si>
  <si>
    <t>28285</t>
  </si>
  <si>
    <t>Izere Umwali Christa</t>
  </si>
  <si>
    <t>28289</t>
  </si>
  <si>
    <t>Kavumbagu Nicolas</t>
  </si>
  <si>
    <t>28322</t>
  </si>
  <si>
    <t>Shema Peace Honorine</t>
  </si>
  <si>
    <t>28333</t>
  </si>
  <si>
    <t>Mizero Nshuti Olivier</t>
  </si>
  <si>
    <t>28336</t>
  </si>
  <si>
    <t>Uwamahoro clementine</t>
  </si>
  <si>
    <t>28340</t>
  </si>
  <si>
    <t>Ndaruhutse Moise</t>
  </si>
  <si>
    <t>28347</t>
  </si>
  <si>
    <t>Manzi Haridi</t>
  </si>
  <si>
    <t>28373</t>
  </si>
  <si>
    <t>Kavumbagu Kenny David</t>
  </si>
  <si>
    <t>28388</t>
  </si>
  <si>
    <t xml:space="preserve">Gihozo Eliphide </t>
  </si>
  <si>
    <t>28390</t>
  </si>
  <si>
    <t>Ihimbazwe Gisele</t>
  </si>
  <si>
    <t>28402</t>
  </si>
  <si>
    <t>Gacinya Hirwa Arsene</t>
  </si>
  <si>
    <t>28410</t>
  </si>
  <si>
    <t>Munyanturire Kaliza Liesse</t>
  </si>
  <si>
    <t>28431</t>
  </si>
  <si>
    <t>Umutoniwase Yvonne</t>
  </si>
  <si>
    <t>28449</t>
  </si>
  <si>
    <t>Abayo Emery</t>
  </si>
  <si>
    <t>28460</t>
  </si>
  <si>
    <t>Tuyisenge Alex</t>
  </si>
  <si>
    <t>28881</t>
  </si>
  <si>
    <t xml:space="preserve">	Manzi Habingoma Kevin</t>
  </si>
  <si>
    <t>28886</t>
  </si>
  <si>
    <t>Ishema Kelly</t>
  </si>
  <si>
    <t>29082</t>
  </si>
  <si>
    <t>Shema Effendi Bideri</t>
  </si>
  <si>
    <t>29302</t>
  </si>
  <si>
    <t>Umutesi Uwase Raissa Fatuma</t>
  </si>
  <si>
    <t>29312</t>
  </si>
  <si>
    <t>Umugwaneza Henriette</t>
  </si>
  <si>
    <t>29519</t>
  </si>
  <si>
    <t>Mohammed Ibrahim Mohammed Ali</t>
  </si>
  <si>
    <t>Ishimwe Melissa</t>
  </si>
  <si>
    <t>Inshimwe Billy Joshua</t>
  </si>
  <si>
    <t>22831</t>
  </si>
  <si>
    <t>Mfuranzima Nadette</t>
  </si>
  <si>
    <t>22938</t>
  </si>
  <si>
    <t>Manirumva Samuel</t>
  </si>
  <si>
    <t>24925</t>
  </si>
  <si>
    <t>UMUTONI Nicole</t>
  </si>
  <si>
    <t>25820</t>
  </si>
  <si>
    <t>Bagabo Joy</t>
  </si>
  <si>
    <t>26159</t>
  </si>
  <si>
    <t>Ntwari Arnold Bruce</t>
  </si>
  <si>
    <t>26259</t>
  </si>
  <si>
    <t>Kalisa Ineza Jovith</t>
  </si>
  <si>
    <t>26318</t>
  </si>
  <si>
    <t>Mugabekazi Rinah</t>
  </si>
  <si>
    <t>26444</t>
  </si>
  <si>
    <t>Mba Biteghe Taless Dorly</t>
  </si>
  <si>
    <t>26524</t>
  </si>
  <si>
    <t>Bisimwa Cyusa Kevin</t>
  </si>
  <si>
    <t>26961</t>
  </si>
  <si>
    <t>Shema Amani</t>
  </si>
  <si>
    <t>26989</t>
  </si>
  <si>
    <t>Turikumana Jean Claude</t>
  </si>
  <si>
    <t>27122</t>
  </si>
  <si>
    <t>Dukundimana Clovis</t>
  </si>
  <si>
    <t>27179</t>
  </si>
  <si>
    <t>Ishimwe Odilon</t>
  </si>
  <si>
    <t>27251</t>
  </si>
  <si>
    <t>Habyarimana Mugisha Divin</t>
  </si>
  <si>
    <t>27292</t>
  </si>
  <si>
    <t>Irakoze Kamanzi Anysia</t>
  </si>
  <si>
    <t>27300</t>
  </si>
  <si>
    <t xml:space="preserve">Musoni  Elyse </t>
  </si>
  <si>
    <t>27405</t>
  </si>
  <si>
    <t>Sangwa Kamanzi Melissa</t>
  </si>
  <si>
    <t>27491</t>
  </si>
  <si>
    <t>Kamufozi Gwiza Christian</t>
  </si>
  <si>
    <t>27520</t>
  </si>
  <si>
    <t>Uwera Adeline</t>
  </si>
  <si>
    <t>27530</t>
  </si>
  <si>
    <t>Kasemire Asimwe Benie</t>
  </si>
  <si>
    <t>27617</t>
  </si>
  <si>
    <t>Ucunguyabe Emmelance</t>
  </si>
  <si>
    <t>27771</t>
  </si>
  <si>
    <t xml:space="preserve">Umutoniwase Aliane </t>
  </si>
  <si>
    <t>27772</t>
  </si>
  <si>
    <t>Uwodukunda  Divine</t>
  </si>
  <si>
    <t>27775</t>
  </si>
  <si>
    <t>Rukundo William</t>
  </si>
  <si>
    <t>27812</t>
  </si>
  <si>
    <t>Dushime Aline Denise</t>
  </si>
  <si>
    <t>27813</t>
  </si>
  <si>
    <t>Izabayo Divine</t>
  </si>
  <si>
    <t>27828</t>
  </si>
  <si>
    <t>ugiriwimbabazi belyse</t>
  </si>
  <si>
    <t>27829</t>
  </si>
  <si>
    <t>Uwineza Happy</t>
  </si>
  <si>
    <t>27833</t>
  </si>
  <si>
    <t xml:space="preserve">Gihozo Vanessa Erika </t>
  </si>
  <si>
    <t>27892</t>
  </si>
  <si>
    <t>Umuhoza Alia</t>
  </si>
  <si>
    <t>27894</t>
  </si>
  <si>
    <t>Birashoboka Habumugisha Peace</t>
  </si>
  <si>
    <t>27906</t>
  </si>
  <si>
    <t xml:space="preserve">Mbonyumugara  Mushi </t>
  </si>
  <si>
    <t>28039</t>
  </si>
  <si>
    <t>Hagenimana Aime de Dieu</t>
  </si>
  <si>
    <t>28048</t>
  </si>
  <si>
    <t>Rudahigwa Mparabanyi Loic</t>
  </si>
  <si>
    <t>28057</t>
  </si>
  <si>
    <t>Murerwa Molly</t>
  </si>
  <si>
    <t>28212</t>
  </si>
  <si>
    <t>Karema Juventus Mathew</t>
  </si>
  <si>
    <t>28228</t>
  </si>
  <si>
    <t>Ntwari Cedric</t>
  </si>
  <si>
    <t>28250</t>
  </si>
  <si>
    <t>Irumva Edmond</t>
  </si>
  <si>
    <t>28270</t>
  </si>
  <si>
    <t>Ihirwe Pacifique</t>
  </si>
  <si>
    <t>28286</t>
  </si>
  <si>
    <t>Rwasibo Elie</t>
  </si>
  <si>
    <t>28288</t>
  </si>
  <si>
    <t>Buregeya Teta Samuella</t>
  </si>
  <si>
    <t>28306</t>
  </si>
  <si>
    <t>Mariza Teddy</t>
  </si>
  <si>
    <t>28310</t>
  </si>
  <si>
    <t>Hirwa Haguma Hubert</t>
  </si>
  <si>
    <t>28317</t>
  </si>
  <si>
    <t>Ishimwe Pierre</t>
  </si>
  <si>
    <t>28362</t>
  </si>
  <si>
    <t>Mugisha Justin</t>
  </si>
  <si>
    <t>28377</t>
  </si>
  <si>
    <t>Akoguteta Laura Anaise</t>
  </si>
  <si>
    <t>28392</t>
  </si>
  <si>
    <t>Irembere olivier</t>
  </si>
  <si>
    <t>28429</t>
  </si>
  <si>
    <t>Ishimwe Alsene</t>
  </si>
  <si>
    <t>28432</t>
  </si>
  <si>
    <t xml:space="preserve">Uwitonze Sonia </t>
  </si>
  <si>
    <t>28439</t>
  </si>
  <si>
    <t>Feeza Winnie</t>
  </si>
  <si>
    <t>28444</t>
  </si>
  <si>
    <t>Gisa Chris Munyangaju</t>
  </si>
  <si>
    <t>28488</t>
  </si>
  <si>
    <t>Mpuhwezimana Pamphile</t>
  </si>
  <si>
    <t>28494</t>
  </si>
  <si>
    <t>Bigwaneza Ishimwe Davdson</t>
  </si>
  <si>
    <t>28495</t>
  </si>
  <si>
    <t>Ganza Rutsinga Queen</t>
  </si>
  <si>
    <t>28498</t>
  </si>
  <si>
    <t xml:space="preserve">Gatesi Doreen </t>
  </si>
  <si>
    <t>28499</t>
  </si>
  <si>
    <t>Komeza Manasse</t>
  </si>
  <si>
    <t>28533</t>
  </si>
  <si>
    <t>Byiringiro Benjamin</t>
  </si>
  <si>
    <t>28824</t>
  </si>
  <si>
    <t>Tuyiringire Bonheur</t>
  </si>
  <si>
    <t>28873</t>
  </si>
  <si>
    <t>Niyonzima Egide</t>
  </si>
  <si>
    <t>28954</t>
  </si>
  <si>
    <t>INEMA Sentama Laure</t>
  </si>
  <si>
    <t>28975</t>
  </si>
  <si>
    <t xml:space="preserve">	Byishimo Alex</t>
  </si>
  <si>
    <t>29074</t>
  </si>
  <si>
    <t>Rugenzi Prince Lewis</t>
  </si>
  <si>
    <t>29085</t>
  </si>
  <si>
    <t>Mucyo fabrice</t>
  </si>
  <si>
    <t>29160</t>
  </si>
  <si>
    <t>Sheja Shalom</t>
  </si>
  <si>
    <t>29196</t>
  </si>
  <si>
    <t>Gisubizo Jean Claude</t>
  </si>
  <si>
    <t>29257</t>
  </si>
  <si>
    <t xml:space="preserve">NIYOMWUNGERI Emmanuel </t>
  </si>
  <si>
    <t>29268</t>
  </si>
  <si>
    <t>sikubwabo safari</t>
  </si>
  <si>
    <t>24666</t>
  </si>
  <si>
    <t>Niyikiza Eric</t>
  </si>
  <si>
    <t>26144</t>
  </si>
  <si>
    <t>Mutabonwa Sharon</t>
  </si>
  <si>
    <t>26147</t>
  </si>
  <si>
    <t>Ituze Paradis</t>
  </si>
  <si>
    <t>26277</t>
  </si>
  <si>
    <t>Rebeka Patience</t>
  </si>
  <si>
    <t>26458</t>
  </si>
  <si>
    <t>Umutoni Nice</t>
  </si>
  <si>
    <t>26461</t>
  </si>
  <si>
    <t>Araje Divin</t>
  </si>
  <si>
    <t>26478</t>
  </si>
  <si>
    <t>Abumukiza Shimirwa Leon Christian</t>
  </si>
  <si>
    <t>26585</t>
  </si>
  <si>
    <t>Kanyana Alia</t>
  </si>
  <si>
    <t>26640</t>
  </si>
  <si>
    <t>Mukeshimana Janice Dorcas</t>
  </si>
  <si>
    <t>26662</t>
  </si>
  <si>
    <t>Muhamyankaka Ishimwe Olga</t>
  </si>
  <si>
    <t>26664</t>
  </si>
  <si>
    <t>Niyigena Hirwa Flora</t>
  </si>
  <si>
    <t>26898</t>
  </si>
  <si>
    <t>Nkurunziza Salomon</t>
  </si>
  <si>
    <t>26977</t>
  </si>
  <si>
    <t>Nishimwe Johnson</t>
  </si>
  <si>
    <t>27111</t>
  </si>
  <si>
    <t>27133</t>
  </si>
  <si>
    <t xml:space="preserve">Musana Jean Bosco </t>
  </si>
  <si>
    <t>27141</t>
  </si>
  <si>
    <t>Serutamba Hertier</t>
  </si>
  <si>
    <t>27321</t>
  </si>
  <si>
    <t xml:space="preserve">Rugomwa Imam Shafi </t>
  </si>
  <si>
    <t>27549</t>
  </si>
  <si>
    <t>Uwizeye Docile</t>
  </si>
  <si>
    <t>27600</t>
  </si>
  <si>
    <t>Manzi Kennedy</t>
  </si>
  <si>
    <t>27674</t>
  </si>
  <si>
    <t>Uwase Athalia</t>
  </si>
  <si>
    <t>27686</t>
  </si>
  <si>
    <t>Habihirwe Claudette</t>
  </si>
  <si>
    <t>27784</t>
  </si>
  <si>
    <t>Kamanda dan</t>
  </si>
  <si>
    <t>27800</t>
  </si>
  <si>
    <t>Ndarasi Kaliza Chela</t>
  </si>
  <si>
    <t>27830</t>
  </si>
  <si>
    <t>Uwumuremyi Honorine</t>
  </si>
  <si>
    <t>27835</t>
  </si>
  <si>
    <t>Joseph P Gbanah</t>
  </si>
  <si>
    <t>27891</t>
  </si>
  <si>
    <t>Mugisha Chris</t>
  </si>
  <si>
    <t>27954</t>
  </si>
  <si>
    <t xml:space="preserve">Umugwaneza Samantha </t>
  </si>
  <si>
    <t>27970</t>
  </si>
  <si>
    <t>Isaro Shania Ida</t>
  </si>
  <si>
    <t>27983</t>
  </si>
  <si>
    <t>Irasubiza Pacifique</t>
  </si>
  <si>
    <t>28214</t>
  </si>
  <si>
    <t xml:space="preserve">Vuguziga Sultan Ray </t>
  </si>
  <si>
    <t>28216</t>
  </si>
  <si>
    <t>Byiringiro Maurice</t>
  </si>
  <si>
    <t>28230</t>
  </si>
  <si>
    <t>Rugambwa Davin</t>
  </si>
  <si>
    <t>28235</t>
  </si>
  <si>
    <t>Umwizerwa Ruth</t>
  </si>
  <si>
    <t>28237</t>
  </si>
  <si>
    <t>Cyiza Olivier</t>
  </si>
  <si>
    <t>28312</t>
  </si>
  <si>
    <t>Iraguha Sandrine</t>
  </si>
  <si>
    <t>28313</t>
  </si>
  <si>
    <t>Arinatwe Hope</t>
  </si>
  <si>
    <t>28361</t>
  </si>
  <si>
    <t>Seminega David</t>
  </si>
  <si>
    <t>28376</t>
  </si>
  <si>
    <t>Mutoni Patience</t>
  </si>
  <si>
    <t>28387</t>
  </si>
  <si>
    <t>Izabayo Gitego Nadine</t>
  </si>
  <si>
    <t>28407</t>
  </si>
  <si>
    <t>Kabatesi Sylvie</t>
  </si>
  <si>
    <t>28417</t>
  </si>
  <si>
    <t>Tuyisenge Kelly</t>
  </si>
  <si>
    <t>28419</t>
  </si>
  <si>
    <t>Kwizera Alexis</t>
  </si>
  <si>
    <t>28430</t>
  </si>
  <si>
    <t xml:space="preserve">Iradukunda Aime Gentille </t>
  </si>
  <si>
    <t>28455</t>
  </si>
  <si>
    <t>Ishimwe Billy Joshua</t>
  </si>
  <si>
    <t>28466</t>
  </si>
  <si>
    <t>Bugingo Jean de Dieu</t>
  </si>
  <si>
    <t>28469</t>
  </si>
  <si>
    <t>Uwayezu Lydie</t>
  </si>
  <si>
    <t>28491</t>
  </si>
  <si>
    <t>Nsengiyumva George</t>
  </si>
  <si>
    <t>28762</t>
  </si>
  <si>
    <t>Isaro Rubagumya Roxane</t>
  </si>
  <si>
    <t>28769</t>
  </si>
  <si>
    <t>Himbazwe Emerance</t>
  </si>
  <si>
    <t>28775</t>
  </si>
  <si>
    <t>Gihozo Gisline</t>
  </si>
  <si>
    <t>28779</t>
  </si>
  <si>
    <t>Uwajeneza Melissa</t>
  </si>
  <si>
    <t>28953</t>
  </si>
  <si>
    <t>Ntirivamunda Keza</t>
  </si>
  <si>
    <t>28981</t>
  </si>
  <si>
    <t>Manzi Prince</t>
  </si>
  <si>
    <t>29061</t>
  </si>
  <si>
    <t>Mutangana Joseph</t>
  </si>
  <si>
    <t>29062</t>
  </si>
  <si>
    <t>Ishimwe Gad</t>
  </si>
  <si>
    <t>29079</t>
  </si>
  <si>
    <t>Umwali Keza Kenia</t>
  </si>
  <si>
    <t>29121</t>
  </si>
  <si>
    <t>Iradukunda Deborah</t>
  </si>
  <si>
    <t>29390</t>
  </si>
  <si>
    <t>Ishimwe Teta Keyla</t>
  </si>
  <si>
    <t>L is mentioned</t>
  </si>
  <si>
    <t>Izabayo Parfait</t>
  </si>
  <si>
    <t>Was in the booklets of F</t>
  </si>
  <si>
    <t>On booklets there is F</t>
  </si>
  <si>
    <t>Ishimwe Ange</t>
  </si>
  <si>
    <t>Was in the booklets of G</t>
  </si>
  <si>
    <t>was in booklets of G</t>
  </si>
  <si>
    <t>In highlidht group G</t>
  </si>
  <si>
    <t>In highlidht group L</t>
  </si>
  <si>
    <t xml:space="preserve">Andy Miguel Songa </t>
  </si>
  <si>
    <t>Nkeshimana David</t>
  </si>
  <si>
    <t>In other group</t>
  </si>
  <si>
    <t>Why appearing in two different groups?</t>
  </si>
  <si>
    <t>Why appearing in other group</t>
  </si>
  <si>
    <t>In other group but also submitted alone without any file</t>
  </si>
  <si>
    <t>Quiz/10</t>
  </si>
  <si>
    <t>Assi on 2025-12-08/20</t>
  </si>
  <si>
    <t>Last assignment/20</t>
  </si>
  <si>
    <t>Appear in wrong file and also appreared in other submission (please double check)</t>
  </si>
  <si>
    <t>Work/30</t>
  </si>
  <si>
    <t>Works/30</t>
  </si>
  <si>
    <t>Total/60</t>
  </si>
  <si>
    <t>Decision</t>
  </si>
  <si>
    <t>Mid Term Exam/30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</si>
</sst>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theme="1"/>
      <name val="Century Gothic"/>
      <family val="2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2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3" borderId="0" xfId="0" applyFill="1"/>
    <xf numFmtId="0" fontId="0" fillId="0" borderId="0" xfId="0" applyFill="1"/>
    <xf numFmtId="0" fontId="3" fillId="0" borderId="1" xfId="0" applyFont="1" applyBorder="1" applyAlignment="1">
      <alignment vertical="top" wrapText="1"/>
    </xf>
    <xf numFmtId="0" fontId="2" fillId="0" borderId="1" xfId="0" applyFont="1" applyBorder="1"/>
    <xf numFmtId="0" fontId="2" fillId="4" borderId="1" xfId="0" applyFont="1" applyFill="1" applyBorder="1"/>
    <xf numFmtId="0" fontId="0" fillId="0" borderId="1" xfId="0" applyFill="1" applyBorder="1"/>
    <xf numFmtId="0" fontId="0" fillId="2" borderId="1" xfId="0" applyFill="1" applyBorder="1" applyAlignment="1">
      <alignment horizontal="left"/>
    </xf>
    <xf numFmtId="14" fontId="3" fillId="0" borderId="1" xfId="0" applyNumberFormat="1" applyFont="1" applyBorder="1" applyAlignment="1">
      <alignment vertical="top" wrapText="1"/>
    </xf>
    <xf numFmtId="0" fontId="0" fillId="5" borderId="1" xfId="0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G68" sqref="G68"/>
    </sheetView>
  </sheetViews>
  <sheetFormatPr defaultRowHeight="14.5" x14ac:dyDescent="0.35"/>
  <cols>
    <col min="2" max="2" width="26.453125" customWidth="1"/>
    <col min="3" max="3" width="8.453125" customWidth="1"/>
  </cols>
  <sheetData>
    <row r="1" spans="1:12" ht="43.5" x14ac:dyDescent="0.35">
      <c r="A1" s="16" t="s">
        <v>0</v>
      </c>
      <c r="B1" s="16" t="s">
        <v>1</v>
      </c>
      <c r="C1" s="16" t="s">
        <v>521</v>
      </c>
      <c r="D1" s="16" t="s">
        <v>513</v>
      </c>
      <c r="E1" s="16" t="s">
        <v>514</v>
      </c>
      <c r="F1" s="16" t="s">
        <v>515</v>
      </c>
      <c r="G1" s="16" t="s">
        <v>517</v>
      </c>
      <c r="H1" s="16" t="s">
        <v>519</v>
      </c>
      <c r="I1" s="16" t="s">
        <v>520</v>
      </c>
    </row>
    <row r="2" spans="1:12" x14ac:dyDescent="0.35">
      <c r="A2" s="7" t="s">
        <v>2</v>
      </c>
      <c r="B2" s="7" t="s">
        <v>3</v>
      </c>
      <c r="C2" s="7">
        <v>13</v>
      </c>
      <c r="D2" s="7">
        <v>10</v>
      </c>
      <c r="E2" s="7">
        <v>18</v>
      </c>
      <c r="F2" s="7">
        <v>17</v>
      </c>
      <c r="G2" s="7">
        <f>(D2+E2+F2)*30/50</f>
        <v>27</v>
      </c>
      <c r="H2" s="7">
        <f>C2+G2</f>
        <v>40</v>
      </c>
      <c r="I2" s="7" t="str">
        <f>IF(H2&gt;=30,"PASS","FAIL")</f>
        <v>PASS</v>
      </c>
    </row>
    <row r="3" spans="1:12" x14ac:dyDescent="0.35">
      <c r="A3" s="7" t="s">
        <v>4</v>
      </c>
      <c r="B3" s="7" t="s">
        <v>5</v>
      </c>
      <c r="C3" s="7">
        <v>13</v>
      </c>
      <c r="D3" s="7">
        <v>10</v>
      </c>
      <c r="E3" s="7">
        <v>18</v>
      </c>
      <c r="F3" s="7">
        <v>19</v>
      </c>
      <c r="G3" s="7">
        <f t="shared" ref="G3:G63" si="0">(D3+E3+F3)*30/50</f>
        <v>28.2</v>
      </c>
      <c r="H3" s="7">
        <f t="shared" ref="H3:H63" si="1">C3+G3</f>
        <v>41.2</v>
      </c>
      <c r="I3" s="7" t="str">
        <f t="shared" ref="I3:I63" si="2">IF(H3&gt;=30,"PASS","FAIL")</f>
        <v>PASS</v>
      </c>
    </row>
    <row r="4" spans="1:12" x14ac:dyDescent="0.35">
      <c r="A4" s="7" t="s">
        <v>6</v>
      </c>
      <c r="B4" s="7" t="s">
        <v>7</v>
      </c>
      <c r="C4" s="7">
        <v>6</v>
      </c>
      <c r="D4" s="7">
        <v>10</v>
      </c>
      <c r="E4" s="7">
        <v>18</v>
      </c>
      <c r="F4" s="7">
        <v>19</v>
      </c>
      <c r="G4" s="7">
        <f t="shared" si="0"/>
        <v>28.2</v>
      </c>
      <c r="H4" s="7">
        <f t="shared" si="1"/>
        <v>34.200000000000003</v>
      </c>
      <c r="I4" s="7" t="str">
        <f t="shared" si="2"/>
        <v>PASS</v>
      </c>
    </row>
    <row r="5" spans="1:12" x14ac:dyDescent="0.35">
      <c r="A5" s="7" t="s">
        <v>8</v>
      </c>
      <c r="B5" s="7" t="s">
        <v>9</v>
      </c>
      <c r="C5" s="7">
        <v>20</v>
      </c>
      <c r="D5" s="7">
        <v>10</v>
      </c>
      <c r="E5" s="7">
        <v>19</v>
      </c>
      <c r="F5" s="7">
        <v>19</v>
      </c>
      <c r="G5" s="7">
        <f t="shared" si="0"/>
        <v>28.8</v>
      </c>
      <c r="H5" s="7">
        <f t="shared" si="1"/>
        <v>48.8</v>
      </c>
      <c r="I5" s="7" t="str">
        <f t="shared" si="2"/>
        <v>PASS</v>
      </c>
    </row>
    <row r="6" spans="1:12" x14ac:dyDescent="0.35">
      <c r="A6" s="7" t="s">
        <v>10</v>
      </c>
      <c r="B6" s="7" t="s">
        <v>11</v>
      </c>
      <c r="C6" s="7">
        <v>13</v>
      </c>
      <c r="D6" s="7">
        <v>10</v>
      </c>
      <c r="E6" s="7">
        <v>17</v>
      </c>
      <c r="F6" s="7">
        <v>18</v>
      </c>
      <c r="G6" s="7">
        <f t="shared" si="0"/>
        <v>27</v>
      </c>
      <c r="H6" s="7">
        <f t="shared" si="1"/>
        <v>40</v>
      </c>
      <c r="I6" s="7" t="str">
        <f t="shared" si="2"/>
        <v>PASS</v>
      </c>
      <c r="L6" s="5" t="s">
        <v>501</v>
      </c>
    </row>
    <row r="7" spans="1:12" x14ac:dyDescent="0.35">
      <c r="A7" s="7" t="s">
        <v>12</v>
      </c>
      <c r="B7" s="7" t="s">
        <v>13</v>
      </c>
      <c r="C7" s="7">
        <v>27</v>
      </c>
      <c r="D7" s="7">
        <v>10</v>
      </c>
      <c r="E7" s="7">
        <v>17</v>
      </c>
      <c r="F7" s="7">
        <v>19</v>
      </c>
      <c r="G7" s="7">
        <f t="shared" si="0"/>
        <v>27.6</v>
      </c>
      <c r="H7" s="7">
        <f t="shared" si="1"/>
        <v>54.6</v>
      </c>
      <c r="I7" s="7" t="str">
        <f t="shared" si="2"/>
        <v>PASS</v>
      </c>
    </row>
    <row r="8" spans="1:12" x14ac:dyDescent="0.35">
      <c r="A8" s="7" t="s">
        <v>14</v>
      </c>
      <c r="B8" s="7" t="s">
        <v>15</v>
      </c>
      <c r="C8" s="7">
        <v>26</v>
      </c>
      <c r="D8" s="7">
        <v>10</v>
      </c>
      <c r="E8" s="8"/>
      <c r="F8" s="7">
        <v>10</v>
      </c>
      <c r="G8" s="7">
        <f t="shared" si="0"/>
        <v>12</v>
      </c>
      <c r="H8" s="7">
        <f t="shared" si="1"/>
        <v>38</v>
      </c>
      <c r="I8" s="7" t="str">
        <f t="shared" si="2"/>
        <v>PASS</v>
      </c>
    </row>
    <row r="9" spans="1:12" x14ac:dyDescent="0.35">
      <c r="A9" s="7" t="s">
        <v>16</v>
      </c>
      <c r="B9" s="7" t="s">
        <v>17</v>
      </c>
      <c r="C9" s="7">
        <v>18</v>
      </c>
      <c r="D9" s="7">
        <v>10</v>
      </c>
      <c r="E9" s="7">
        <v>18</v>
      </c>
      <c r="F9" s="7">
        <v>17</v>
      </c>
      <c r="G9" s="7">
        <f t="shared" si="0"/>
        <v>27</v>
      </c>
      <c r="H9" s="7">
        <f t="shared" si="1"/>
        <v>45</v>
      </c>
      <c r="I9" s="7" t="str">
        <f t="shared" si="2"/>
        <v>PASS</v>
      </c>
    </row>
    <row r="10" spans="1:12" x14ac:dyDescent="0.35">
      <c r="A10" s="7" t="s">
        <v>18</v>
      </c>
      <c r="B10" s="7" t="s">
        <v>19</v>
      </c>
      <c r="C10" s="7">
        <v>15</v>
      </c>
      <c r="D10" s="7">
        <v>10</v>
      </c>
      <c r="E10" s="8"/>
      <c r="F10" s="7">
        <v>19</v>
      </c>
      <c r="G10" s="7">
        <f t="shared" si="0"/>
        <v>17.399999999999999</v>
      </c>
      <c r="H10" s="7">
        <f t="shared" si="1"/>
        <v>32.4</v>
      </c>
      <c r="I10" s="7" t="str">
        <f t="shared" si="2"/>
        <v>PASS</v>
      </c>
    </row>
    <row r="11" spans="1:12" x14ac:dyDescent="0.35">
      <c r="A11" s="7" t="s">
        <v>20</v>
      </c>
      <c r="B11" s="7" t="s">
        <v>21</v>
      </c>
      <c r="C11" s="7">
        <v>24</v>
      </c>
      <c r="D11" s="7">
        <v>10</v>
      </c>
      <c r="E11" s="7">
        <v>18</v>
      </c>
      <c r="F11" s="7">
        <v>19</v>
      </c>
      <c r="G11" s="7">
        <f t="shared" si="0"/>
        <v>28.2</v>
      </c>
      <c r="H11" s="7">
        <f t="shared" si="1"/>
        <v>52.2</v>
      </c>
      <c r="I11" s="7" t="str">
        <f t="shared" si="2"/>
        <v>PASS</v>
      </c>
    </row>
    <row r="12" spans="1:12" x14ac:dyDescent="0.35">
      <c r="A12" s="7" t="s">
        <v>22</v>
      </c>
      <c r="B12" s="7" t="s">
        <v>23</v>
      </c>
      <c r="C12" s="7">
        <v>25</v>
      </c>
      <c r="D12" s="7">
        <v>10</v>
      </c>
      <c r="E12" s="7">
        <v>19</v>
      </c>
      <c r="F12" s="7">
        <v>19</v>
      </c>
      <c r="G12" s="7">
        <f t="shared" si="0"/>
        <v>28.8</v>
      </c>
      <c r="H12" s="7">
        <f t="shared" si="1"/>
        <v>53.8</v>
      </c>
      <c r="I12" s="7" t="str">
        <f t="shared" si="2"/>
        <v>PASS</v>
      </c>
    </row>
    <row r="13" spans="1:12" x14ac:dyDescent="0.35">
      <c r="A13" s="7" t="s">
        <v>24</v>
      </c>
      <c r="B13" s="7" t="s">
        <v>25</v>
      </c>
      <c r="C13" s="7">
        <v>21</v>
      </c>
      <c r="D13" s="7">
        <v>10</v>
      </c>
      <c r="E13" s="7">
        <v>18</v>
      </c>
      <c r="F13" s="7">
        <v>17</v>
      </c>
      <c r="G13" s="7">
        <f t="shared" si="0"/>
        <v>27</v>
      </c>
      <c r="H13" s="7">
        <f t="shared" si="1"/>
        <v>48</v>
      </c>
      <c r="I13" s="7" t="str">
        <f t="shared" si="2"/>
        <v>PASS</v>
      </c>
    </row>
    <row r="14" spans="1:12" x14ac:dyDescent="0.35">
      <c r="A14" s="7" t="s">
        <v>26</v>
      </c>
      <c r="B14" s="7" t="s">
        <v>27</v>
      </c>
      <c r="C14" s="7">
        <v>17</v>
      </c>
      <c r="D14" s="7">
        <v>10</v>
      </c>
      <c r="E14" s="7">
        <v>10</v>
      </c>
      <c r="F14" s="7">
        <v>19</v>
      </c>
      <c r="G14" s="7">
        <f t="shared" si="0"/>
        <v>23.4</v>
      </c>
      <c r="H14" s="7">
        <f t="shared" si="1"/>
        <v>40.4</v>
      </c>
      <c r="I14" s="7" t="str">
        <f t="shared" si="2"/>
        <v>PASS</v>
      </c>
    </row>
    <row r="15" spans="1:12" x14ac:dyDescent="0.35">
      <c r="A15" s="7" t="s">
        <v>28</v>
      </c>
      <c r="B15" s="7" t="s">
        <v>29</v>
      </c>
      <c r="C15" s="7">
        <v>29</v>
      </c>
      <c r="D15" s="7">
        <v>10</v>
      </c>
      <c r="E15" s="7">
        <v>10</v>
      </c>
      <c r="F15" s="7">
        <v>19</v>
      </c>
      <c r="G15" s="7">
        <f t="shared" si="0"/>
        <v>23.4</v>
      </c>
      <c r="H15" s="7">
        <f t="shared" si="1"/>
        <v>52.4</v>
      </c>
      <c r="I15" s="7" t="str">
        <f t="shared" si="2"/>
        <v>PASS</v>
      </c>
    </row>
    <row r="16" spans="1:12" x14ac:dyDescent="0.35">
      <c r="A16" s="7" t="s">
        <v>30</v>
      </c>
      <c r="B16" s="7" t="s">
        <v>31</v>
      </c>
      <c r="C16" s="7">
        <v>18</v>
      </c>
      <c r="D16" s="7">
        <v>10</v>
      </c>
      <c r="E16" s="7">
        <v>18</v>
      </c>
      <c r="F16" s="7">
        <v>19</v>
      </c>
      <c r="G16" s="7">
        <f t="shared" si="0"/>
        <v>28.2</v>
      </c>
      <c r="H16" s="7">
        <f t="shared" si="1"/>
        <v>46.2</v>
      </c>
      <c r="I16" s="7" t="str">
        <f t="shared" si="2"/>
        <v>PASS</v>
      </c>
    </row>
    <row r="17" spans="1:9" x14ac:dyDescent="0.35">
      <c r="A17" s="7" t="s">
        <v>32</v>
      </c>
      <c r="B17" s="7" t="s">
        <v>33</v>
      </c>
      <c r="C17" s="7">
        <v>17</v>
      </c>
      <c r="D17" s="7">
        <v>10</v>
      </c>
      <c r="E17" s="7">
        <v>10</v>
      </c>
      <c r="F17" s="7">
        <v>19</v>
      </c>
      <c r="G17" s="7">
        <f t="shared" si="0"/>
        <v>23.4</v>
      </c>
      <c r="H17" s="7">
        <f t="shared" si="1"/>
        <v>40.4</v>
      </c>
      <c r="I17" s="7" t="str">
        <f t="shared" si="2"/>
        <v>PASS</v>
      </c>
    </row>
    <row r="18" spans="1:9" x14ac:dyDescent="0.35">
      <c r="A18" s="7" t="s">
        <v>34</v>
      </c>
      <c r="B18" s="7" t="s">
        <v>35</v>
      </c>
      <c r="C18" s="7">
        <v>21</v>
      </c>
      <c r="D18" s="7">
        <v>10</v>
      </c>
      <c r="E18" s="7">
        <v>10</v>
      </c>
      <c r="F18" s="7">
        <v>19</v>
      </c>
      <c r="G18" s="7">
        <f t="shared" si="0"/>
        <v>23.4</v>
      </c>
      <c r="H18" s="7">
        <f t="shared" si="1"/>
        <v>44.4</v>
      </c>
      <c r="I18" s="7" t="str">
        <f t="shared" si="2"/>
        <v>PASS</v>
      </c>
    </row>
    <row r="19" spans="1:9" x14ac:dyDescent="0.35">
      <c r="A19" s="7" t="s">
        <v>36</v>
      </c>
      <c r="B19" s="7" t="s">
        <v>37</v>
      </c>
      <c r="C19" s="7">
        <v>23</v>
      </c>
      <c r="D19" s="7">
        <v>10</v>
      </c>
      <c r="E19" s="7">
        <v>18</v>
      </c>
      <c r="F19" s="7">
        <v>19</v>
      </c>
      <c r="G19" s="7">
        <f t="shared" si="0"/>
        <v>28.2</v>
      </c>
      <c r="H19" s="7">
        <f t="shared" si="1"/>
        <v>51.2</v>
      </c>
      <c r="I19" s="7" t="str">
        <f t="shared" si="2"/>
        <v>PASS</v>
      </c>
    </row>
    <row r="20" spans="1:9" x14ac:dyDescent="0.35">
      <c r="A20" s="7" t="s">
        <v>38</v>
      </c>
      <c r="B20" s="7" t="s">
        <v>39</v>
      </c>
      <c r="C20" s="7">
        <v>17</v>
      </c>
      <c r="D20" s="7">
        <v>10</v>
      </c>
      <c r="E20" s="7">
        <v>10</v>
      </c>
      <c r="F20" s="7">
        <v>19</v>
      </c>
      <c r="G20" s="7">
        <f t="shared" si="0"/>
        <v>23.4</v>
      </c>
      <c r="H20" s="7">
        <f t="shared" si="1"/>
        <v>40.4</v>
      </c>
      <c r="I20" s="7" t="str">
        <f t="shared" si="2"/>
        <v>PASS</v>
      </c>
    </row>
    <row r="21" spans="1:9" x14ac:dyDescent="0.35">
      <c r="A21" s="7" t="s">
        <v>40</v>
      </c>
      <c r="B21" s="7" t="s">
        <v>41</v>
      </c>
      <c r="C21" s="7">
        <v>23</v>
      </c>
      <c r="D21" s="7">
        <v>5</v>
      </c>
      <c r="E21" s="7">
        <v>18</v>
      </c>
      <c r="F21" s="7">
        <v>19</v>
      </c>
      <c r="G21" s="7">
        <f t="shared" si="0"/>
        <v>25.2</v>
      </c>
      <c r="H21" s="7">
        <f t="shared" si="1"/>
        <v>48.2</v>
      </c>
      <c r="I21" s="7" t="str">
        <f t="shared" si="2"/>
        <v>PASS</v>
      </c>
    </row>
    <row r="22" spans="1:9" x14ac:dyDescent="0.35">
      <c r="A22" s="7" t="s">
        <v>42</v>
      </c>
      <c r="B22" s="7" t="s">
        <v>43</v>
      </c>
      <c r="C22" s="7">
        <v>12</v>
      </c>
      <c r="D22" s="7">
        <v>10</v>
      </c>
      <c r="E22" s="7">
        <v>19</v>
      </c>
      <c r="F22" s="7">
        <v>19</v>
      </c>
      <c r="G22" s="7">
        <f t="shared" si="0"/>
        <v>28.8</v>
      </c>
      <c r="H22" s="7">
        <f t="shared" si="1"/>
        <v>40.799999999999997</v>
      </c>
      <c r="I22" s="7" t="str">
        <f t="shared" si="2"/>
        <v>PASS</v>
      </c>
    </row>
    <row r="23" spans="1:9" x14ac:dyDescent="0.35">
      <c r="A23" s="7" t="s">
        <v>44</v>
      </c>
      <c r="B23" s="7" t="s">
        <v>45</v>
      </c>
      <c r="C23" s="7">
        <v>18</v>
      </c>
      <c r="D23" s="7">
        <v>10</v>
      </c>
      <c r="E23" s="7">
        <v>17</v>
      </c>
      <c r="F23" s="7">
        <v>17</v>
      </c>
      <c r="G23" s="7">
        <f t="shared" si="0"/>
        <v>26.4</v>
      </c>
      <c r="H23" s="7">
        <f t="shared" si="1"/>
        <v>44.4</v>
      </c>
      <c r="I23" s="7" t="str">
        <f t="shared" si="2"/>
        <v>PASS</v>
      </c>
    </row>
    <row r="24" spans="1:9" x14ac:dyDescent="0.35">
      <c r="A24" s="7" t="s">
        <v>46</v>
      </c>
      <c r="B24" s="7" t="s">
        <v>47</v>
      </c>
      <c r="C24" s="7">
        <v>17</v>
      </c>
      <c r="D24" s="7">
        <v>10</v>
      </c>
      <c r="E24" s="7">
        <v>18</v>
      </c>
      <c r="F24" s="7">
        <v>19</v>
      </c>
      <c r="G24" s="7">
        <f t="shared" si="0"/>
        <v>28.2</v>
      </c>
      <c r="H24" s="7">
        <f t="shared" si="1"/>
        <v>45.2</v>
      </c>
      <c r="I24" s="7" t="str">
        <f t="shared" si="2"/>
        <v>PASS</v>
      </c>
    </row>
    <row r="25" spans="1:9" x14ac:dyDescent="0.35">
      <c r="A25" s="7" t="s">
        <v>48</v>
      </c>
      <c r="B25" s="7" t="s">
        <v>49</v>
      </c>
      <c r="C25" s="7">
        <v>27</v>
      </c>
      <c r="D25" s="7">
        <v>10</v>
      </c>
      <c r="E25" s="7">
        <v>19</v>
      </c>
      <c r="F25" s="7">
        <v>19</v>
      </c>
      <c r="G25" s="7">
        <f t="shared" si="0"/>
        <v>28.8</v>
      </c>
      <c r="H25" s="7">
        <f t="shared" si="1"/>
        <v>55.8</v>
      </c>
      <c r="I25" s="7" t="str">
        <f t="shared" si="2"/>
        <v>PASS</v>
      </c>
    </row>
    <row r="26" spans="1:9" x14ac:dyDescent="0.35">
      <c r="A26" s="7" t="s">
        <v>50</v>
      </c>
      <c r="B26" s="7" t="s">
        <v>51</v>
      </c>
      <c r="C26" s="7">
        <v>23</v>
      </c>
      <c r="D26" s="7">
        <v>10</v>
      </c>
      <c r="E26" s="7">
        <v>10</v>
      </c>
      <c r="F26" s="7">
        <v>19</v>
      </c>
      <c r="G26" s="7">
        <f t="shared" si="0"/>
        <v>23.4</v>
      </c>
      <c r="H26" s="7">
        <f t="shared" si="1"/>
        <v>46.4</v>
      </c>
      <c r="I26" s="7" t="str">
        <f t="shared" si="2"/>
        <v>PASS</v>
      </c>
    </row>
    <row r="27" spans="1:9" x14ac:dyDescent="0.35">
      <c r="A27" s="7" t="s">
        <v>52</v>
      </c>
      <c r="B27" s="7" t="s">
        <v>53</v>
      </c>
      <c r="C27" s="7">
        <v>17</v>
      </c>
      <c r="D27" s="7">
        <v>10</v>
      </c>
      <c r="E27" s="7">
        <v>18</v>
      </c>
      <c r="F27" s="7">
        <v>19</v>
      </c>
      <c r="G27" s="7">
        <f t="shared" si="0"/>
        <v>28.2</v>
      </c>
      <c r="H27" s="7">
        <f t="shared" si="1"/>
        <v>45.2</v>
      </c>
      <c r="I27" s="7" t="str">
        <f t="shared" si="2"/>
        <v>PASS</v>
      </c>
    </row>
    <row r="28" spans="1:9" x14ac:dyDescent="0.35">
      <c r="A28" s="7" t="s">
        <v>54</v>
      </c>
      <c r="B28" s="7" t="s">
        <v>55</v>
      </c>
      <c r="C28" s="7">
        <v>25</v>
      </c>
      <c r="D28" s="7">
        <v>10</v>
      </c>
      <c r="E28" s="7">
        <v>17</v>
      </c>
      <c r="F28" s="7">
        <v>17</v>
      </c>
      <c r="G28" s="7">
        <f t="shared" si="0"/>
        <v>26.4</v>
      </c>
      <c r="H28" s="7">
        <f t="shared" si="1"/>
        <v>51.4</v>
      </c>
      <c r="I28" s="7" t="str">
        <f t="shared" si="2"/>
        <v>PASS</v>
      </c>
    </row>
    <row r="29" spans="1:9" x14ac:dyDescent="0.35">
      <c r="A29" s="7" t="s">
        <v>56</v>
      </c>
      <c r="B29" s="7" t="s">
        <v>57</v>
      </c>
      <c r="C29" s="7">
        <v>26</v>
      </c>
      <c r="D29" s="7">
        <v>10</v>
      </c>
      <c r="E29" s="7">
        <v>18</v>
      </c>
      <c r="F29" s="7">
        <v>19</v>
      </c>
      <c r="G29" s="7">
        <f t="shared" si="0"/>
        <v>28.2</v>
      </c>
      <c r="H29" s="7">
        <f t="shared" si="1"/>
        <v>54.2</v>
      </c>
      <c r="I29" s="7" t="str">
        <f t="shared" si="2"/>
        <v>PASS</v>
      </c>
    </row>
    <row r="30" spans="1:9" x14ac:dyDescent="0.35">
      <c r="A30" s="7" t="s">
        <v>58</v>
      </c>
      <c r="B30" s="7" t="s">
        <v>59</v>
      </c>
      <c r="C30" s="7">
        <v>18</v>
      </c>
      <c r="D30" s="7">
        <v>10</v>
      </c>
      <c r="E30" s="7">
        <v>18</v>
      </c>
      <c r="F30" s="7">
        <v>19</v>
      </c>
      <c r="G30" s="7">
        <f t="shared" si="0"/>
        <v>28.2</v>
      </c>
      <c r="H30" s="7">
        <f t="shared" si="1"/>
        <v>46.2</v>
      </c>
      <c r="I30" s="7" t="str">
        <f t="shared" si="2"/>
        <v>PASS</v>
      </c>
    </row>
    <row r="31" spans="1:9" x14ac:dyDescent="0.35">
      <c r="A31" s="7" t="s">
        <v>60</v>
      </c>
      <c r="B31" s="7" t="s">
        <v>61</v>
      </c>
      <c r="C31" s="7">
        <v>27</v>
      </c>
      <c r="D31" s="7">
        <v>10</v>
      </c>
      <c r="E31" s="7">
        <v>18</v>
      </c>
      <c r="F31" s="7">
        <v>19</v>
      </c>
      <c r="G31" s="7">
        <f t="shared" si="0"/>
        <v>28.2</v>
      </c>
      <c r="H31" s="7">
        <f t="shared" si="1"/>
        <v>55.2</v>
      </c>
      <c r="I31" s="7" t="str">
        <f t="shared" si="2"/>
        <v>PASS</v>
      </c>
    </row>
    <row r="32" spans="1:9" x14ac:dyDescent="0.35">
      <c r="A32" s="7" t="s">
        <v>62</v>
      </c>
      <c r="B32" s="7" t="s">
        <v>63</v>
      </c>
      <c r="C32" s="7">
        <v>22</v>
      </c>
      <c r="D32" s="7">
        <v>5</v>
      </c>
      <c r="E32" s="7">
        <v>17</v>
      </c>
      <c r="F32" s="7">
        <v>17</v>
      </c>
      <c r="G32" s="7">
        <f t="shared" si="0"/>
        <v>23.4</v>
      </c>
      <c r="H32" s="7">
        <f t="shared" si="1"/>
        <v>45.4</v>
      </c>
      <c r="I32" s="7" t="str">
        <f t="shared" si="2"/>
        <v>PASS</v>
      </c>
    </row>
    <row r="33" spans="1:11" x14ac:dyDescent="0.35">
      <c r="A33" s="7" t="s">
        <v>64</v>
      </c>
      <c r="B33" s="7" t="s">
        <v>65</v>
      </c>
      <c r="C33" s="7">
        <v>22</v>
      </c>
      <c r="D33" s="7">
        <v>10</v>
      </c>
      <c r="E33" s="7">
        <v>19</v>
      </c>
      <c r="F33" s="7">
        <v>19</v>
      </c>
      <c r="G33" s="7">
        <f t="shared" si="0"/>
        <v>28.8</v>
      </c>
      <c r="H33" s="7">
        <f t="shared" si="1"/>
        <v>50.8</v>
      </c>
      <c r="I33" s="7" t="str">
        <f t="shared" si="2"/>
        <v>PASS</v>
      </c>
    </row>
    <row r="34" spans="1:11" x14ac:dyDescent="0.35">
      <c r="A34" s="7" t="s">
        <v>66</v>
      </c>
      <c r="B34" s="7" t="s">
        <v>67</v>
      </c>
      <c r="C34" s="7">
        <v>20</v>
      </c>
      <c r="D34" s="7">
        <v>5</v>
      </c>
      <c r="E34" s="7">
        <v>18</v>
      </c>
      <c r="F34" s="7">
        <v>10</v>
      </c>
      <c r="G34" s="7">
        <f t="shared" si="0"/>
        <v>19.8</v>
      </c>
      <c r="H34" s="7">
        <f t="shared" si="1"/>
        <v>39.799999999999997</v>
      </c>
      <c r="I34" s="7" t="str">
        <f t="shared" si="2"/>
        <v>PASS</v>
      </c>
      <c r="K34" t="s">
        <v>498</v>
      </c>
    </row>
    <row r="35" spans="1:11" x14ac:dyDescent="0.35">
      <c r="A35" s="7" t="s">
        <v>68</v>
      </c>
      <c r="B35" s="7" t="s">
        <v>69</v>
      </c>
      <c r="C35" s="7">
        <v>22</v>
      </c>
      <c r="D35" s="7">
        <v>10</v>
      </c>
      <c r="E35" s="7">
        <v>10</v>
      </c>
      <c r="F35" s="7">
        <v>19</v>
      </c>
      <c r="G35" s="7">
        <f t="shared" si="0"/>
        <v>23.4</v>
      </c>
      <c r="H35" s="7">
        <f t="shared" si="1"/>
        <v>45.4</v>
      </c>
      <c r="I35" s="7" t="str">
        <f t="shared" si="2"/>
        <v>PASS</v>
      </c>
    </row>
    <row r="36" spans="1:11" x14ac:dyDescent="0.35">
      <c r="A36" s="7" t="s">
        <v>70</v>
      </c>
      <c r="B36" s="7" t="s">
        <v>71</v>
      </c>
      <c r="C36" s="7">
        <v>21</v>
      </c>
      <c r="D36" s="7">
        <v>10</v>
      </c>
      <c r="E36" s="7">
        <v>18</v>
      </c>
      <c r="F36" s="7">
        <v>19</v>
      </c>
      <c r="G36" s="7">
        <f t="shared" si="0"/>
        <v>28.2</v>
      </c>
      <c r="H36" s="7">
        <f t="shared" si="1"/>
        <v>49.2</v>
      </c>
      <c r="I36" s="7" t="str">
        <f t="shared" si="2"/>
        <v>PASS</v>
      </c>
    </row>
    <row r="37" spans="1:11" x14ac:dyDescent="0.35">
      <c r="A37" s="7" t="s">
        <v>72</v>
      </c>
      <c r="B37" s="7" t="s">
        <v>73</v>
      </c>
      <c r="C37" s="7">
        <v>14</v>
      </c>
      <c r="D37" s="7">
        <v>10</v>
      </c>
      <c r="E37" s="7">
        <v>18</v>
      </c>
      <c r="F37" s="7">
        <v>17</v>
      </c>
      <c r="G37" s="7">
        <f t="shared" si="0"/>
        <v>27</v>
      </c>
      <c r="H37" s="7">
        <f t="shared" si="1"/>
        <v>41</v>
      </c>
      <c r="I37" s="7" t="str">
        <f t="shared" si="2"/>
        <v>PASS</v>
      </c>
    </row>
    <row r="38" spans="1:11" x14ac:dyDescent="0.35">
      <c r="A38" s="7" t="s">
        <v>74</v>
      </c>
      <c r="B38" s="7" t="s">
        <v>75</v>
      </c>
      <c r="C38" s="7">
        <v>29</v>
      </c>
      <c r="D38" s="7">
        <v>10</v>
      </c>
      <c r="E38" s="7">
        <v>18</v>
      </c>
      <c r="F38" s="7">
        <v>17</v>
      </c>
      <c r="G38" s="7">
        <f t="shared" si="0"/>
        <v>27</v>
      </c>
      <c r="H38" s="7">
        <f t="shared" si="1"/>
        <v>56</v>
      </c>
      <c r="I38" s="7" t="str">
        <f t="shared" si="2"/>
        <v>PASS</v>
      </c>
    </row>
    <row r="39" spans="1:11" x14ac:dyDescent="0.35">
      <c r="A39" s="7" t="s">
        <v>76</v>
      </c>
      <c r="B39" s="7" t="s">
        <v>77</v>
      </c>
      <c r="C39" s="7">
        <v>26</v>
      </c>
      <c r="D39" s="7">
        <v>10</v>
      </c>
      <c r="E39" s="7">
        <v>18</v>
      </c>
      <c r="F39" s="7">
        <v>17</v>
      </c>
      <c r="G39" s="7">
        <f t="shared" si="0"/>
        <v>27</v>
      </c>
      <c r="H39" s="7">
        <f t="shared" si="1"/>
        <v>53</v>
      </c>
      <c r="I39" s="7" t="str">
        <f t="shared" si="2"/>
        <v>PASS</v>
      </c>
    </row>
    <row r="40" spans="1:11" x14ac:dyDescent="0.35">
      <c r="A40" s="7" t="s">
        <v>78</v>
      </c>
      <c r="B40" s="7" t="s">
        <v>79</v>
      </c>
      <c r="C40" s="7">
        <v>15</v>
      </c>
      <c r="D40" s="7">
        <v>10</v>
      </c>
      <c r="E40" s="7">
        <v>18</v>
      </c>
      <c r="F40" s="7">
        <v>19</v>
      </c>
      <c r="G40" s="7">
        <f t="shared" si="0"/>
        <v>28.2</v>
      </c>
      <c r="H40" s="7">
        <f t="shared" si="1"/>
        <v>43.2</v>
      </c>
      <c r="I40" s="7" t="str">
        <f t="shared" si="2"/>
        <v>PASS</v>
      </c>
    </row>
    <row r="41" spans="1:11" x14ac:dyDescent="0.35">
      <c r="A41" s="7" t="s">
        <v>80</v>
      </c>
      <c r="B41" s="7" t="s">
        <v>81</v>
      </c>
      <c r="C41" s="7">
        <v>2</v>
      </c>
      <c r="D41" s="7">
        <v>10</v>
      </c>
      <c r="E41" s="7">
        <v>18</v>
      </c>
      <c r="F41" s="7">
        <v>17</v>
      </c>
      <c r="G41" s="7">
        <f t="shared" si="0"/>
        <v>27</v>
      </c>
      <c r="H41" s="7">
        <f t="shared" si="1"/>
        <v>29</v>
      </c>
      <c r="I41" s="22" t="str">
        <f t="shared" si="2"/>
        <v>FAIL</v>
      </c>
    </row>
    <row r="42" spans="1:11" x14ac:dyDescent="0.35">
      <c r="A42" s="7" t="s">
        <v>82</v>
      </c>
      <c r="B42" s="7" t="s">
        <v>83</v>
      </c>
      <c r="C42" s="7">
        <v>22</v>
      </c>
      <c r="D42" s="7">
        <v>10</v>
      </c>
      <c r="E42" s="7">
        <v>19</v>
      </c>
      <c r="F42" s="7">
        <v>19</v>
      </c>
      <c r="G42" s="7">
        <f t="shared" si="0"/>
        <v>28.8</v>
      </c>
      <c r="H42" s="7">
        <f t="shared" si="1"/>
        <v>50.8</v>
      </c>
      <c r="I42" s="7" t="str">
        <f t="shared" si="2"/>
        <v>PASS</v>
      </c>
    </row>
    <row r="43" spans="1:11" x14ac:dyDescent="0.35">
      <c r="A43" s="7" t="s">
        <v>84</v>
      </c>
      <c r="B43" s="7" t="s">
        <v>85</v>
      </c>
      <c r="C43" s="7">
        <v>20</v>
      </c>
      <c r="D43" s="7">
        <v>10</v>
      </c>
      <c r="E43" s="7">
        <v>19</v>
      </c>
      <c r="F43" s="7">
        <v>19</v>
      </c>
      <c r="G43" s="7">
        <f t="shared" si="0"/>
        <v>28.8</v>
      </c>
      <c r="H43" s="7">
        <f t="shared" si="1"/>
        <v>48.8</v>
      </c>
      <c r="I43" s="7" t="str">
        <f t="shared" si="2"/>
        <v>PASS</v>
      </c>
    </row>
    <row r="44" spans="1:11" x14ac:dyDescent="0.35">
      <c r="A44" s="7" t="s">
        <v>86</v>
      </c>
      <c r="B44" s="7" t="s">
        <v>87</v>
      </c>
      <c r="C44" s="7">
        <v>16</v>
      </c>
      <c r="D44" s="7">
        <v>10</v>
      </c>
      <c r="E44" s="7">
        <v>19</v>
      </c>
      <c r="F44" s="7">
        <v>19</v>
      </c>
      <c r="G44" s="7">
        <f t="shared" si="0"/>
        <v>28.8</v>
      </c>
      <c r="H44" s="7">
        <f t="shared" si="1"/>
        <v>44.8</v>
      </c>
      <c r="I44" s="7" t="str">
        <f t="shared" si="2"/>
        <v>PASS</v>
      </c>
    </row>
    <row r="45" spans="1:11" x14ac:dyDescent="0.35">
      <c r="A45" s="7" t="s">
        <v>88</v>
      </c>
      <c r="B45" s="7" t="s">
        <v>89</v>
      </c>
      <c r="C45" s="7">
        <v>15</v>
      </c>
      <c r="D45" s="7">
        <v>10</v>
      </c>
      <c r="E45" s="7">
        <v>18</v>
      </c>
      <c r="F45" s="7">
        <v>17</v>
      </c>
      <c r="G45" s="7">
        <f t="shared" si="0"/>
        <v>27</v>
      </c>
      <c r="H45" s="7">
        <f t="shared" si="1"/>
        <v>42</v>
      </c>
      <c r="I45" s="7" t="str">
        <f t="shared" si="2"/>
        <v>PASS</v>
      </c>
    </row>
    <row r="46" spans="1:11" x14ac:dyDescent="0.35">
      <c r="A46" s="7" t="s">
        <v>90</v>
      </c>
      <c r="B46" s="7" t="s">
        <v>91</v>
      </c>
      <c r="C46" s="7">
        <v>15</v>
      </c>
      <c r="D46" s="7">
        <v>10</v>
      </c>
      <c r="E46" s="7">
        <v>18</v>
      </c>
      <c r="F46" s="7">
        <v>17</v>
      </c>
      <c r="G46" s="7">
        <f t="shared" si="0"/>
        <v>27</v>
      </c>
      <c r="H46" s="7">
        <f t="shared" si="1"/>
        <v>42</v>
      </c>
      <c r="I46" s="7" t="str">
        <f t="shared" si="2"/>
        <v>PASS</v>
      </c>
    </row>
    <row r="47" spans="1:11" x14ac:dyDescent="0.35">
      <c r="A47" s="7" t="s">
        <v>92</v>
      </c>
      <c r="B47" s="7" t="s">
        <v>93</v>
      </c>
      <c r="C47" s="7">
        <v>21</v>
      </c>
      <c r="D47" s="7">
        <v>10</v>
      </c>
      <c r="E47" s="7">
        <v>18</v>
      </c>
      <c r="F47" s="7">
        <v>19</v>
      </c>
      <c r="G47" s="7">
        <f t="shared" si="0"/>
        <v>28.2</v>
      </c>
      <c r="H47" s="7">
        <f t="shared" si="1"/>
        <v>49.2</v>
      </c>
      <c r="I47" s="7" t="str">
        <f t="shared" si="2"/>
        <v>PASS</v>
      </c>
    </row>
    <row r="48" spans="1:11" s="15" customFormat="1" x14ac:dyDescent="0.35">
      <c r="A48" s="8" t="s">
        <v>94</v>
      </c>
      <c r="B48" s="8" t="s">
        <v>95</v>
      </c>
      <c r="C48" s="8"/>
      <c r="D48" s="8"/>
      <c r="E48" s="8"/>
      <c r="F48" s="8"/>
      <c r="G48" s="8"/>
      <c r="H48" s="8"/>
      <c r="I48" s="8"/>
    </row>
    <row r="49" spans="1:9" x14ac:dyDescent="0.35">
      <c r="A49" s="7" t="s">
        <v>96</v>
      </c>
      <c r="B49" s="7" t="s">
        <v>97</v>
      </c>
      <c r="C49" s="7">
        <v>18</v>
      </c>
      <c r="D49" s="7">
        <v>10</v>
      </c>
      <c r="E49" s="7">
        <v>18</v>
      </c>
      <c r="F49" s="7">
        <v>17</v>
      </c>
      <c r="G49" s="7">
        <f t="shared" si="0"/>
        <v>27</v>
      </c>
      <c r="H49" s="7">
        <f t="shared" si="1"/>
        <v>45</v>
      </c>
      <c r="I49" s="7" t="str">
        <f t="shared" si="2"/>
        <v>PASS</v>
      </c>
    </row>
    <row r="50" spans="1:9" x14ac:dyDescent="0.35">
      <c r="A50" s="7" t="s">
        <v>98</v>
      </c>
      <c r="B50" s="7" t="s">
        <v>99</v>
      </c>
      <c r="C50" s="7">
        <v>20</v>
      </c>
      <c r="D50" s="7">
        <v>10</v>
      </c>
      <c r="E50" s="7">
        <v>18</v>
      </c>
      <c r="F50" s="7">
        <v>19</v>
      </c>
      <c r="G50" s="7">
        <f t="shared" si="0"/>
        <v>28.2</v>
      </c>
      <c r="H50" s="7">
        <f t="shared" si="1"/>
        <v>48.2</v>
      </c>
      <c r="I50" s="7" t="str">
        <f t="shared" si="2"/>
        <v>PASS</v>
      </c>
    </row>
    <row r="51" spans="1:9" x14ac:dyDescent="0.35">
      <c r="A51" s="7" t="s">
        <v>100</v>
      </c>
      <c r="B51" s="7" t="s">
        <v>101</v>
      </c>
      <c r="C51" s="7">
        <v>29</v>
      </c>
      <c r="D51" s="7">
        <v>10</v>
      </c>
      <c r="E51" s="7">
        <v>18</v>
      </c>
      <c r="F51" s="7">
        <v>19</v>
      </c>
      <c r="G51" s="7">
        <f t="shared" si="0"/>
        <v>28.2</v>
      </c>
      <c r="H51" s="7">
        <f t="shared" si="1"/>
        <v>57.2</v>
      </c>
      <c r="I51" s="7" t="str">
        <f t="shared" si="2"/>
        <v>PASS</v>
      </c>
    </row>
    <row r="52" spans="1:9" x14ac:dyDescent="0.35">
      <c r="A52" s="7" t="s">
        <v>102</v>
      </c>
      <c r="B52" s="7" t="s">
        <v>103</v>
      </c>
      <c r="C52" s="7">
        <v>20</v>
      </c>
      <c r="D52" s="7">
        <v>5</v>
      </c>
      <c r="E52" s="7">
        <v>19</v>
      </c>
      <c r="F52" s="7">
        <v>19</v>
      </c>
      <c r="G52" s="7">
        <f t="shared" si="0"/>
        <v>25.8</v>
      </c>
      <c r="H52" s="7">
        <f t="shared" si="1"/>
        <v>45.8</v>
      </c>
      <c r="I52" s="7" t="str">
        <f t="shared" si="2"/>
        <v>PASS</v>
      </c>
    </row>
    <row r="53" spans="1:9" x14ac:dyDescent="0.35">
      <c r="A53" s="7" t="s">
        <v>104</v>
      </c>
      <c r="B53" s="7" t="s">
        <v>105</v>
      </c>
      <c r="C53" s="7">
        <v>15</v>
      </c>
      <c r="D53" s="7">
        <v>10</v>
      </c>
      <c r="E53" s="7">
        <v>18</v>
      </c>
      <c r="F53" s="7">
        <v>19</v>
      </c>
      <c r="G53" s="7">
        <f t="shared" si="0"/>
        <v>28.2</v>
      </c>
      <c r="H53" s="7">
        <f t="shared" si="1"/>
        <v>43.2</v>
      </c>
      <c r="I53" s="7" t="str">
        <f t="shared" si="2"/>
        <v>PASS</v>
      </c>
    </row>
    <row r="54" spans="1:9" x14ac:dyDescent="0.35">
      <c r="A54" s="7" t="s">
        <v>106</v>
      </c>
      <c r="B54" s="7" t="s">
        <v>107</v>
      </c>
      <c r="C54" s="7">
        <v>21</v>
      </c>
      <c r="D54" s="7">
        <v>10</v>
      </c>
      <c r="E54" s="7">
        <v>18</v>
      </c>
      <c r="F54" s="7">
        <v>19</v>
      </c>
      <c r="G54" s="7">
        <f t="shared" si="0"/>
        <v>28.2</v>
      </c>
      <c r="H54" s="7">
        <f t="shared" si="1"/>
        <v>49.2</v>
      </c>
      <c r="I54" s="7" t="str">
        <f t="shared" si="2"/>
        <v>PASS</v>
      </c>
    </row>
    <row r="55" spans="1:9" x14ac:dyDescent="0.35">
      <c r="A55" s="7" t="s">
        <v>108</v>
      </c>
      <c r="B55" s="7" t="s">
        <v>109</v>
      </c>
      <c r="C55" s="7">
        <v>25</v>
      </c>
      <c r="D55" s="7">
        <v>10</v>
      </c>
      <c r="E55" s="7">
        <v>18</v>
      </c>
      <c r="F55" s="7">
        <v>19</v>
      </c>
      <c r="G55" s="7">
        <f t="shared" si="0"/>
        <v>28.2</v>
      </c>
      <c r="H55" s="7">
        <f t="shared" si="1"/>
        <v>53.2</v>
      </c>
      <c r="I55" s="7" t="str">
        <f t="shared" si="2"/>
        <v>PASS</v>
      </c>
    </row>
    <row r="56" spans="1:9" x14ac:dyDescent="0.35">
      <c r="A56" s="7" t="s">
        <v>110</v>
      </c>
      <c r="B56" s="7" t="s">
        <v>111</v>
      </c>
      <c r="C56" s="7">
        <v>27</v>
      </c>
      <c r="D56" s="7">
        <v>10</v>
      </c>
      <c r="E56" s="7">
        <v>18</v>
      </c>
      <c r="F56" s="7">
        <v>19</v>
      </c>
      <c r="G56" s="7">
        <f t="shared" si="0"/>
        <v>28.2</v>
      </c>
      <c r="H56" s="7">
        <f t="shared" si="1"/>
        <v>55.2</v>
      </c>
      <c r="I56" s="7" t="str">
        <f t="shared" si="2"/>
        <v>PASS</v>
      </c>
    </row>
    <row r="57" spans="1:9" x14ac:dyDescent="0.35">
      <c r="A57" s="7" t="s">
        <v>112</v>
      </c>
      <c r="B57" s="7" t="s">
        <v>113</v>
      </c>
      <c r="C57" s="7">
        <v>11</v>
      </c>
      <c r="D57" s="7">
        <v>0</v>
      </c>
      <c r="E57" s="7">
        <v>18</v>
      </c>
      <c r="F57" s="7">
        <v>19</v>
      </c>
      <c r="G57" s="7">
        <f t="shared" si="0"/>
        <v>22.2</v>
      </c>
      <c r="H57" s="7">
        <f t="shared" si="1"/>
        <v>33.200000000000003</v>
      </c>
      <c r="I57" s="7" t="str">
        <f t="shared" si="2"/>
        <v>PASS</v>
      </c>
    </row>
    <row r="58" spans="1:9" x14ac:dyDescent="0.35">
      <c r="A58" s="7" t="s">
        <v>114</v>
      </c>
      <c r="B58" s="7" t="s">
        <v>115</v>
      </c>
      <c r="C58" s="7">
        <v>19</v>
      </c>
      <c r="D58" s="7">
        <v>10</v>
      </c>
      <c r="E58" s="7">
        <v>18</v>
      </c>
      <c r="F58" s="7">
        <v>19</v>
      </c>
      <c r="G58" s="7">
        <f t="shared" si="0"/>
        <v>28.2</v>
      </c>
      <c r="H58" s="7">
        <f t="shared" si="1"/>
        <v>47.2</v>
      </c>
      <c r="I58" s="7" t="str">
        <f t="shared" si="2"/>
        <v>PASS</v>
      </c>
    </row>
    <row r="59" spans="1:9" x14ac:dyDescent="0.35">
      <c r="A59" s="7" t="s">
        <v>116</v>
      </c>
      <c r="B59" s="7" t="s">
        <v>117</v>
      </c>
      <c r="C59" s="7">
        <v>23</v>
      </c>
      <c r="D59" s="7">
        <v>10</v>
      </c>
      <c r="E59" s="7">
        <v>18</v>
      </c>
      <c r="F59" s="7">
        <v>19</v>
      </c>
      <c r="G59" s="7">
        <f t="shared" si="0"/>
        <v>28.2</v>
      </c>
      <c r="H59" s="7">
        <f t="shared" si="1"/>
        <v>51.2</v>
      </c>
      <c r="I59" s="7" t="str">
        <f t="shared" si="2"/>
        <v>PASS</v>
      </c>
    </row>
    <row r="60" spans="1:9" x14ac:dyDescent="0.35">
      <c r="A60" s="7" t="s">
        <v>118</v>
      </c>
      <c r="B60" s="7" t="s">
        <v>119</v>
      </c>
      <c r="C60" s="7">
        <v>25</v>
      </c>
      <c r="D60" s="7">
        <v>10</v>
      </c>
      <c r="E60" s="7">
        <v>18</v>
      </c>
      <c r="F60" s="7">
        <v>19</v>
      </c>
      <c r="G60" s="7">
        <f t="shared" si="0"/>
        <v>28.2</v>
      </c>
      <c r="H60" s="7">
        <f t="shared" si="1"/>
        <v>53.2</v>
      </c>
      <c r="I60" s="7" t="str">
        <f t="shared" si="2"/>
        <v>PASS</v>
      </c>
    </row>
    <row r="61" spans="1:9" x14ac:dyDescent="0.35">
      <c r="A61" s="7" t="s">
        <v>120</v>
      </c>
      <c r="B61" s="7" t="s">
        <v>121</v>
      </c>
      <c r="C61" s="7">
        <v>12</v>
      </c>
      <c r="D61" s="7">
        <v>10</v>
      </c>
      <c r="E61" s="7">
        <v>18</v>
      </c>
      <c r="F61" s="7">
        <v>19</v>
      </c>
      <c r="G61" s="7">
        <f t="shared" si="0"/>
        <v>28.2</v>
      </c>
      <c r="H61" s="7">
        <f t="shared" si="1"/>
        <v>40.200000000000003</v>
      </c>
      <c r="I61" s="7" t="str">
        <f t="shared" si="2"/>
        <v>PASS</v>
      </c>
    </row>
    <row r="62" spans="1:9" x14ac:dyDescent="0.35">
      <c r="A62" s="20">
        <v>28762</v>
      </c>
      <c r="B62" s="9" t="s">
        <v>122</v>
      </c>
      <c r="C62" s="9">
        <v>26</v>
      </c>
      <c r="D62" s="9">
        <v>10</v>
      </c>
      <c r="E62" s="9">
        <v>18</v>
      </c>
      <c r="F62" s="9">
        <v>17</v>
      </c>
      <c r="G62" s="9">
        <f t="shared" si="0"/>
        <v>27</v>
      </c>
      <c r="H62" s="9">
        <f t="shared" si="1"/>
        <v>53</v>
      </c>
      <c r="I62" s="9" t="str">
        <f t="shared" si="2"/>
        <v>PASS</v>
      </c>
    </row>
    <row r="63" spans="1:9" x14ac:dyDescent="0.35">
      <c r="A63" s="20">
        <v>27144</v>
      </c>
      <c r="B63" s="9" t="s">
        <v>499</v>
      </c>
      <c r="C63" s="9">
        <v>12</v>
      </c>
      <c r="D63" s="9">
        <v>10</v>
      </c>
      <c r="E63" s="8"/>
      <c r="F63" s="9">
        <v>19</v>
      </c>
      <c r="G63" s="9">
        <f t="shared" si="0"/>
        <v>17.399999999999999</v>
      </c>
      <c r="H63" s="9">
        <f t="shared" si="1"/>
        <v>29.4</v>
      </c>
      <c r="I63" s="22" t="str">
        <f t="shared" si="2"/>
        <v>FAIL</v>
      </c>
    </row>
    <row r="64" spans="1:9" x14ac:dyDescent="0.35">
      <c r="A64" s="15"/>
      <c r="B64" s="15"/>
      <c r="C64" s="15"/>
      <c r="D64" s="15"/>
      <c r="E64" s="15"/>
    </row>
    <row r="65" spans="1:5" x14ac:dyDescent="0.35">
      <c r="A65" s="15"/>
      <c r="B65" s="15"/>
      <c r="C65" s="15"/>
      <c r="D65" s="15"/>
      <c r="E65" s="15"/>
    </row>
    <row r="66" spans="1:5" x14ac:dyDescent="0.35">
      <c r="A66" s="15"/>
      <c r="B66" s="15"/>
      <c r="C66" s="15"/>
      <c r="D66" s="15"/>
      <c r="E66" s="15"/>
    </row>
    <row r="67" spans="1:5" x14ac:dyDescent="0.35">
      <c r="A67" s="15"/>
      <c r="B67" s="15"/>
      <c r="C67" s="15"/>
      <c r="D67" s="15"/>
      <c r="E67" s="15"/>
    </row>
    <row r="68" spans="1:5" x14ac:dyDescent="0.35">
      <c r="A68" s="15"/>
      <c r="B68" s="15"/>
      <c r="C68" s="15"/>
      <c r="D68" s="15"/>
      <c r="E68" s="15"/>
    </row>
    <row r="69" spans="1:5" x14ac:dyDescent="0.35">
      <c r="A69" s="15"/>
      <c r="B69" s="15"/>
      <c r="C69" s="15"/>
      <c r="D69" s="15"/>
      <c r="E69" s="15"/>
    </row>
    <row r="70" spans="1:5" x14ac:dyDescent="0.35">
      <c r="A70" s="15"/>
      <c r="B70" s="15"/>
      <c r="C70" s="15"/>
      <c r="D70" s="15"/>
      <c r="E70" s="15"/>
    </row>
    <row r="71" spans="1:5" x14ac:dyDescent="0.35">
      <c r="A71" s="15"/>
      <c r="B71" s="15"/>
      <c r="C71" s="15"/>
      <c r="D71" s="15"/>
      <c r="E7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9A99-8684-49C2-A6D8-44A27DF4CF3C}">
  <dimension ref="A1:L65"/>
  <sheetViews>
    <sheetView topLeftCell="A53" workbookViewId="0">
      <selection activeCell="J58" sqref="J58"/>
    </sheetView>
  </sheetViews>
  <sheetFormatPr defaultRowHeight="14.5" x14ac:dyDescent="0.35"/>
  <cols>
    <col min="2" max="2" width="30" customWidth="1"/>
    <col min="3" max="3" width="9.6328125" customWidth="1"/>
  </cols>
  <sheetData>
    <row r="1" spans="1:9" ht="43.5" x14ac:dyDescent="0.35">
      <c r="A1" s="16" t="s">
        <v>0</v>
      </c>
      <c r="B1" s="16" t="s">
        <v>1</v>
      </c>
      <c r="C1" s="16" t="s">
        <v>521</v>
      </c>
      <c r="D1" s="16" t="s">
        <v>513</v>
      </c>
      <c r="E1" s="16" t="s">
        <v>514</v>
      </c>
      <c r="F1" s="16" t="s">
        <v>515</v>
      </c>
      <c r="G1" s="16" t="s">
        <v>518</v>
      </c>
      <c r="H1" s="16" t="s">
        <v>519</v>
      </c>
      <c r="I1" s="16" t="s">
        <v>520</v>
      </c>
    </row>
    <row r="2" spans="1:9" s="15" customFormat="1" x14ac:dyDescent="0.35">
      <c r="A2" s="19" t="s">
        <v>123</v>
      </c>
      <c r="B2" s="19" t="s">
        <v>124</v>
      </c>
      <c r="C2" s="19">
        <v>16</v>
      </c>
      <c r="D2" s="19">
        <v>10</v>
      </c>
      <c r="E2" s="19">
        <v>10</v>
      </c>
      <c r="F2" s="19">
        <v>10</v>
      </c>
      <c r="G2" s="19">
        <f>(D2+E2+F2)*30/50</f>
        <v>18</v>
      </c>
      <c r="H2" s="19">
        <f>C2+G2</f>
        <v>34</v>
      </c>
      <c r="I2" s="19" t="str">
        <f>IF(H2&gt;=30,"PASS","FAIL")</f>
        <v>PASS</v>
      </c>
    </row>
    <row r="3" spans="1:9" x14ac:dyDescent="0.35">
      <c r="A3" s="7" t="s">
        <v>125</v>
      </c>
      <c r="B3" s="7" t="s">
        <v>126</v>
      </c>
      <c r="C3" s="7">
        <v>4</v>
      </c>
      <c r="D3" s="7">
        <v>10</v>
      </c>
      <c r="E3" s="7">
        <v>18</v>
      </c>
      <c r="F3" s="7">
        <v>10</v>
      </c>
      <c r="G3" s="19">
        <f t="shared" ref="G3:G65" si="0">(D3+E3+F3)*30/50</f>
        <v>22.8</v>
      </c>
      <c r="H3" s="19">
        <f t="shared" ref="H3:H65" si="1">C3+G3</f>
        <v>26.8</v>
      </c>
      <c r="I3" s="22" t="str">
        <f t="shared" ref="I3:I65" si="2">IF(H3&gt;=30,"PASS","FAIL")</f>
        <v>FAIL</v>
      </c>
    </row>
    <row r="4" spans="1:9" x14ac:dyDescent="0.35">
      <c r="A4" s="7" t="s">
        <v>127</v>
      </c>
      <c r="B4" s="7" t="s">
        <v>128</v>
      </c>
      <c r="C4" s="7">
        <v>11</v>
      </c>
      <c r="D4" s="7">
        <v>10</v>
      </c>
      <c r="E4" s="7">
        <v>10</v>
      </c>
      <c r="F4" s="7">
        <v>17</v>
      </c>
      <c r="G4" s="19">
        <f t="shared" si="0"/>
        <v>22.2</v>
      </c>
      <c r="H4" s="19">
        <f t="shared" si="1"/>
        <v>33.200000000000003</v>
      </c>
      <c r="I4" s="19" t="str">
        <f t="shared" si="2"/>
        <v>PASS</v>
      </c>
    </row>
    <row r="5" spans="1:9" x14ac:dyDescent="0.35">
      <c r="A5" s="7" t="s">
        <v>129</v>
      </c>
      <c r="B5" s="7" t="s">
        <v>130</v>
      </c>
      <c r="C5" s="7">
        <v>11</v>
      </c>
      <c r="D5" s="7">
        <v>10</v>
      </c>
      <c r="E5" s="7">
        <v>10</v>
      </c>
      <c r="F5" s="7">
        <v>10</v>
      </c>
      <c r="G5" s="19">
        <f t="shared" si="0"/>
        <v>18</v>
      </c>
      <c r="H5" s="19">
        <f t="shared" si="1"/>
        <v>29</v>
      </c>
      <c r="I5" s="22" t="str">
        <f t="shared" si="2"/>
        <v>FAIL</v>
      </c>
    </row>
    <row r="6" spans="1:9" x14ac:dyDescent="0.35">
      <c r="A6" s="7" t="s">
        <v>131</v>
      </c>
      <c r="B6" s="7" t="s">
        <v>132</v>
      </c>
      <c r="C6" s="7">
        <v>17</v>
      </c>
      <c r="D6" s="7">
        <v>10</v>
      </c>
      <c r="E6" s="7">
        <v>10</v>
      </c>
      <c r="F6" s="7">
        <v>17</v>
      </c>
      <c r="G6" s="19">
        <f t="shared" si="0"/>
        <v>22.2</v>
      </c>
      <c r="H6" s="19">
        <f t="shared" si="1"/>
        <v>39.200000000000003</v>
      </c>
      <c r="I6" s="19" t="str">
        <f t="shared" si="2"/>
        <v>PASS</v>
      </c>
    </row>
    <row r="7" spans="1:9" x14ac:dyDescent="0.35">
      <c r="A7" s="7" t="s">
        <v>133</v>
      </c>
      <c r="B7" s="7" t="s">
        <v>134</v>
      </c>
      <c r="C7" s="7">
        <v>25</v>
      </c>
      <c r="D7" s="7">
        <v>5</v>
      </c>
      <c r="E7" s="7">
        <v>10</v>
      </c>
      <c r="F7" s="7">
        <v>10</v>
      </c>
      <c r="G7" s="19">
        <f t="shared" si="0"/>
        <v>15</v>
      </c>
      <c r="H7" s="19">
        <f t="shared" si="1"/>
        <v>40</v>
      </c>
      <c r="I7" s="19" t="str">
        <f t="shared" si="2"/>
        <v>PASS</v>
      </c>
    </row>
    <row r="8" spans="1:9" x14ac:dyDescent="0.35">
      <c r="A8" s="7" t="s">
        <v>135</v>
      </c>
      <c r="B8" s="7" t="s">
        <v>136</v>
      </c>
      <c r="C8" s="7">
        <v>14</v>
      </c>
      <c r="D8" s="7">
        <v>10</v>
      </c>
      <c r="E8" s="7">
        <v>10</v>
      </c>
      <c r="F8" s="7">
        <v>12</v>
      </c>
      <c r="G8" s="19">
        <f t="shared" si="0"/>
        <v>19.2</v>
      </c>
      <c r="H8" s="19">
        <f t="shared" si="1"/>
        <v>33.200000000000003</v>
      </c>
      <c r="I8" s="19" t="str">
        <f t="shared" si="2"/>
        <v>PASS</v>
      </c>
    </row>
    <row r="9" spans="1:9" x14ac:dyDescent="0.35">
      <c r="A9" s="7" t="s">
        <v>137</v>
      </c>
      <c r="B9" s="7" t="s">
        <v>138</v>
      </c>
      <c r="C9" s="7">
        <v>17</v>
      </c>
      <c r="D9" s="7">
        <v>10</v>
      </c>
      <c r="E9" s="7">
        <v>10</v>
      </c>
      <c r="F9" s="7">
        <v>10</v>
      </c>
      <c r="G9" s="19">
        <f t="shared" si="0"/>
        <v>18</v>
      </c>
      <c r="H9" s="19">
        <f t="shared" si="1"/>
        <v>35</v>
      </c>
      <c r="I9" s="19" t="str">
        <f t="shared" si="2"/>
        <v>PASS</v>
      </c>
    </row>
    <row r="10" spans="1:9" x14ac:dyDescent="0.35">
      <c r="A10" s="7" t="s">
        <v>139</v>
      </c>
      <c r="B10" s="7" t="s">
        <v>140</v>
      </c>
      <c r="C10" s="7">
        <v>15</v>
      </c>
      <c r="D10" s="7">
        <v>10</v>
      </c>
      <c r="E10" s="7">
        <v>10</v>
      </c>
      <c r="F10" s="7">
        <v>17</v>
      </c>
      <c r="G10" s="19">
        <f t="shared" si="0"/>
        <v>22.2</v>
      </c>
      <c r="H10" s="19">
        <f t="shared" si="1"/>
        <v>37.200000000000003</v>
      </c>
      <c r="I10" s="19" t="str">
        <f t="shared" si="2"/>
        <v>PASS</v>
      </c>
    </row>
    <row r="11" spans="1:9" x14ac:dyDescent="0.35">
      <c r="A11" s="7" t="s">
        <v>141</v>
      </c>
      <c r="B11" s="7" t="s">
        <v>142</v>
      </c>
      <c r="C11" s="7">
        <v>11</v>
      </c>
      <c r="D11" s="7">
        <v>10</v>
      </c>
      <c r="E11" s="7">
        <v>18</v>
      </c>
      <c r="F11" s="7">
        <v>10</v>
      </c>
      <c r="G11" s="19">
        <f t="shared" si="0"/>
        <v>22.8</v>
      </c>
      <c r="H11" s="19">
        <f t="shared" si="1"/>
        <v>33.799999999999997</v>
      </c>
      <c r="I11" s="19" t="str">
        <f t="shared" si="2"/>
        <v>PASS</v>
      </c>
    </row>
    <row r="12" spans="1:9" x14ac:dyDescent="0.35">
      <c r="A12" s="7" t="s">
        <v>143</v>
      </c>
      <c r="B12" s="7" t="s">
        <v>144</v>
      </c>
      <c r="C12" s="7">
        <v>20</v>
      </c>
      <c r="D12" s="7">
        <v>10</v>
      </c>
      <c r="E12" s="7">
        <v>10</v>
      </c>
      <c r="F12" s="7">
        <v>10</v>
      </c>
      <c r="G12" s="19">
        <f t="shared" si="0"/>
        <v>18</v>
      </c>
      <c r="H12" s="19">
        <f t="shared" si="1"/>
        <v>38</v>
      </c>
      <c r="I12" s="19" t="str">
        <f t="shared" si="2"/>
        <v>PASS</v>
      </c>
    </row>
    <row r="13" spans="1:9" x14ac:dyDescent="0.35">
      <c r="A13" s="7" t="s">
        <v>145</v>
      </c>
      <c r="B13" s="7" t="s">
        <v>146</v>
      </c>
      <c r="C13" s="7">
        <v>23</v>
      </c>
      <c r="D13" s="7">
        <v>10</v>
      </c>
      <c r="E13" s="7">
        <v>10</v>
      </c>
      <c r="F13" s="7">
        <v>10</v>
      </c>
      <c r="G13" s="19">
        <f t="shared" si="0"/>
        <v>18</v>
      </c>
      <c r="H13" s="19">
        <f t="shared" si="1"/>
        <v>41</v>
      </c>
      <c r="I13" s="19" t="str">
        <f t="shared" si="2"/>
        <v>PASS</v>
      </c>
    </row>
    <row r="14" spans="1:9" x14ac:dyDescent="0.35">
      <c r="A14" s="7" t="s">
        <v>147</v>
      </c>
      <c r="B14" s="7" t="s">
        <v>148</v>
      </c>
      <c r="C14" s="7">
        <v>27</v>
      </c>
      <c r="D14" s="7">
        <v>10</v>
      </c>
      <c r="E14" s="7">
        <v>18</v>
      </c>
      <c r="F14" s="7">
        <v>10</v>
      </c>
      <c r="G14" s="19">
        <f t="shared" si="0"/>
        <v>22.8</v>
      </c>
      <c r="H14" s="19">
        <f t="shared" si="1"/>
        <v>49.8</v>
      </c>
      <c r="I14" s="19" t="str">
        <f t="shared" si="2"/>
        <v>PASS</v>
      </c>
    </row>
    <row r="15" spans="1:9" x14ac:dyDescent="0.35">
      <c r="A15" s="7" t="s">
        <v>149</v>
      </c>
      <c r="B15" s="7" t="s">
        <v>150</v>
      </c>
      <c r="C15" s="7">
        <v>29</v>
      </c>
      <c r="D15" s="7">
        <v>10</v>
      </c>
      <c r="E15" s="7">
        <v>18</v>
      </c>
      <c r="F15" s="7">
        <v>10</v>
      </c>
      <c r="G15" s="19">
        <f t="shared" si="0"/>
        <v>22.8</v>
      </c>
      <c r="H15" s="19">
        <f t="shared" si="1"/>
        <v>51.8</v>
      </c>
      <c r="I15" s="19" t="str">
        <f t="shared" si="2"/>
        <v>PASS</v>
      </c>
    </row>
    <row r="16" spans="1:9" x14ac:dyDescent="0.35">
      <c r="A16" s="7" t="s">
        <v>151</v>
      </c>
      <c r="B16" s="7" t="s">
        <v>152</v>
      </c>
      <c r="C16" s="7">
        <v>13</v>
      </c>
      <c r="D16" s="7">
        <v>10</v>
      </c>
      <c r="E16" s="7">
        <v>18</v>
      </c>
      <c r="F16" s="7">
        <v>10</v>
      </c>
      <c r="G16" s="19">
        <f t="shared" si="0"/>
        <v>22.8</v>
      </c>
      <c r="H16" s="19">
        <f t="shared" si="1"/>
        <v>35.799999999999997</v>
      </c>
      <c r="I16" s="19" t="str">
        <f t="shared" si="2"/>
        <v>PASS</v>
      </c>
    </row>
    <row r="17" spans="1:12" x14ac:dyDescent="0.35">
      <c r="A17" s="7" t="s">
        <v>153</v>
      </c>
      <c r="B17" s="7" t="s">
        <v>154</v>
      </c>
      <c r="C17" s="7">
        <v>19</v>
      </c>
      <c r="D17" s="7">
        <v>10</v>
      </c>
      <c r="E17" s="7">
        <v>10</v>
      </c>
      <c r="F17" s="7">
        <v>17</v>
      </c>
      <c r="G17" s="19">
        <f t="shared" si="0"/>
        <v>22.2</v>
      </c>
      <c r="H17" s="19">
        <f t="shared" si="1"/>
        <v>41.2</v>
      </c>
      <c r="I17" s="19" t="str">
        <f t="shared" si="2"/>
        <v>PASS</v>
      </c>
    </row>
    <row r="18" spans="1:12" x14ac:dyDescent="0.35">
      <c r="A18" s="7" t="s">
        <v>155</v>
      </c>
      <c r="B18" s="7" t="s">
        <v>156</v>
      </c>
      <c r="C18" s="7">
        <v>22</v>
      </c>
      <c r="D18" s="7">
        <v>10</v>
      </c>
      <c r="E18" s="7">
        <v>18</v>
      </c>
      <c r="F18" s="7">
        <v>14</v>
      </c>
      <c r="G18" s="19">
        <f t="shared" si="0"/>
        <v>25.2</v>
      </c>
      <c r="H18" s="19">
        <f t="shared" si="1"/>
        <v>47.2</v>
      </c>
      <c r="I18" s="19" t="str">
        <f t="shared" si="2"/>
        <v>PASS</v>
      </c>
    </row>
    <row r="19" spans="1:12" x14ac:dyDescent="0.35">
      <c r="A19" s="7" t="s">
        <v>157</v>
      </c>
      <c r="B19" s="7" t="s">
        <v>158</v>
      </c>
      <c r="C19" s="7">
        <v>8</v>
      </c>
      <c r="D19" s="7">
        <v>10</v>
      </c>
      <c r="E19" s="7">
        <v>10</v>
      </c>
      <c r="F19" s="7">
        <v>17</v>
      </c>
      <c r="G19" s="19">
        <f t="shared" si="0"/>
        <v>22.2</v>
      </c>
      <c r="H19" s="19">
        <f t="shared" si="1"/>
        <v>30.2</v>
      </c>
      <c r="I19" s="19" t="str">
        <f t="shared" si="2"/>
        <v>PASS</v>
      </c>
    </row>
    <row r="20" spans="1:12" x14ac:dyDescent="0.35">
      <c r="A20" s="7" t="s">
        <v>159</v>
      </c>
      <c r="B20" s="7" t="s">
        <v>160</v>
      </c>
      <c r="C20" s="7">
        <v>13</v>
      </c>
      <c r="D20" s="7">
        <v>10</v>
      </c>
      <c r="E20" s="7">
        <v>18</v>
      </c>
      <c r="F20" s="7">
        <v>10</v>
      </c>
      <c r="G20" s="19">
        <f t="shared" si="0"/>
        <v>22.8</v>
      </c>
      <c r="H20" s="19">
        <f t="shared" si="1"/>
        <v>35.799999999999997</v>
      </c>
      <c r="I20" s="19" t="str">
        <f t="shared" si="2"/>
        <v>PASS</v>
      </c>
    </row>
    <row r="21" spans="1:12" x14ac:dyDescent="0.35">
      <c r="A21" s="7" t="s">
        <v>161</v>
      </c>
      <c r="B21" s="7" t="s">
        <v>162</v>
      </c>
      <c r="C21" s="7">
        <v>21</v>
      </c>
      <c r="D21" s="7">
        <v>10</v>
      </c>
      <c r="E21" s="7">
        <v>18</v>
      </c>
      <c r="F21" s="7">
        <v>17</v>
      </c>
      <c r="G21" s="19">
        <f t="shared" si="0"/>
        <v>27</v>
      </c>
      <c r="H21" s="19">
        <f t="shared" si="1"/>
        <v>48</v>
      </c>
      <c r="I21" s="19" t="str">
        <f t="shared" si="2"/>
        <v>PASS</v>
      </c>
    </row>
    <row r="22" spans="1:12" x14ac:dyDescent="0.35">
      <c r="A22" s="7" t="s">
        <v>163</v>
      </c>
      <c r="B22" s="7" t="s">
        <v>164</v>
      </c>
      <c r="C22" s="7">
        <v>29</v>
      </c>
      <c r="D22" s="7">
        <v>10</v>
      </c>
      <c r="E22" s="7">
        <v>18</v>
      </c>
      <c r="F22" s="7">
        <v>17</v>
      </c>
      <c r="G22" s="19">
        <f t="shared" si="0"/>
        <v>27</v>
      </c>
      <c r="H22" s="19">
        <f t="shared" si="1"/>
        <v>56</v>
      </c>
      <c r="I22" s="19" t="str">
        <f t="shared" si="2"/>
        <v>PASS</v>
      </c>
    </row>
    <row r="23" spans="1:12" x14ac:dyDescent="0.35">
      <c r="A23" s="7" t="s">
        <v>165</v>
      </c>
      <c r="B23" s="7" t="s">
        <v>166</v>
      </c>
      <c r="C23" s="7">
        <v>11</v>
      </c>
      <c r="D23" s="7">
        <v>10</v>
      </c>
      <c r="E23" s="7">
        <v>18</v>
      </c>
      <c r="F23" s="7">
        <v>10</v>
      </c>
      <c r="G23" s="19">
        <f t="shared" si="0"/>
        <v>22.8</v>
      </c>
      <c r="H23" s="19">
        <f t="shared" si="1"/>
        <v>33.799999999999997</v>
      </c>
      <c r="I23" s="19" t="str">
        <f t="shared" si="2"/>
        <v>PASS</v>
      </c>
    </row>
    <row r="24" spans="1:12" x14ac:dyDescent="0.35">
      <c r="A24" s="7" t="s">
        <v>167</v>
      </c>
      <c r="B24" s="7" t="s">
        <v>168</v>
      </c>
      <c r="C24" s="7">
        <v>15</v>
      </c>
      <c r="D24" s="7">
        <v>10</v>
      </c>
      <c r="E24" s="7">
        <v>18</v>
      </c>
      <c r="F24" s="7">
        <v>10</v>
      </c>
      <c r="G24" s="19">
        <f t="shared" si="0"/>
        <v>22.8</v>
      </c>
      <c r="H24" s="19">
        <f t="shared" si="1"/>
        <v>37.799999999999997</v>
      </c>
      <c r="I24" s="19" t="str">
        <f t="shared" si="2"/>
        <v>PASS</v>
      </c>
    </row>
    <row r="25" spans="1:12" x14ac:dyDescent="0.35">
      <c r="A25" s="7" t="s">
        <v>169</v>
      </c>
      <c r="B25" s="7" t="s">
        <v>170</v>
      </c>
      <c r="C25" s="7">
        <v>16</v>
      </c>
      <c r="D25" s="7">
        <v>10</v>
      </c>
      <c r="E25" s="7">
        <v>18</v>
      </c>
      <c r="F25" s="7">
        <v>19</v>
      </c>
      <c r="G25" s="19">
        <f t="shared" si="0"/>
        <v>28.2</v>
      </c>
      <c r="H25" s="19">
        <f t="shared" si="1"/>
        <v>44.2</v>
      </c>
      <c r="I25" s="19" t="str">
        <f t="shared" si="2"/>
        <v>PASS</v>
      </c>
    </row>
    <row r="26" spans="1:12" x14ac:dyDescent="0.35">
      <c r="A26" s="7" t="s">
        <v>171</v>
      </c>
      <c r="B26" s="7" t="s">
        <v>172</v>
      </c>
      <c r="C26" s="7">
        <v>22</v>
      </c>
      <c r="D26" s="7">
        <v>5</v>
      </c>
      <c r="E26" s="7">
        <v>18</v>
      </c>
      <c r="F26" s="7">
        <v>10</v>
      </c>
      <c r="G26" s="19">
        <f t="shared" si="0"/>
        <v>19.8</v>
      </c>
      <c r="H26" s="19">
        <f t="shared" si="1"/>
        <v>41.8</v>
      </c>
      <c r="I26" s="19" t="str">
        <f t="shared" si="2"/>
        <v>PASS</v>
      </c>
    </row>
    <row r="27" spans="1:12" x14ac:dyDescent="0.35">
      <c r="A27" s="7" t="s">
        <v>173</v>
      </c>
      <c r="B27" s="7" t="s">
        <v>174</v>
      </c>
      <c r="C27" s="7">
        <v>7</v>
      </c>
      <c r="D27" s="7">
        <v>10</v>
      </c>
      <c r="E27" s="7">
        <v>18</v>
      </c>
      <c r="F27" s="7">
        <v>19</v>
      </c>
      <c r="G27" s="19">
        <f t="shared" si="0"/>
        <v>28.2</v>
      </c>
      <c r="H27" s="19">
        <f t="shared" si="1"/>
        <v>35.200000000000003</v>
      </c>
      <c r="I27" s="19" t="str">
        <f t="shared" si="2"/>
        <v>PASS</v>
      </c>
    </row>
    <row r="28" spans="1:12" x14ac:dyDescent="0.35">
      <c r="A28" s="7" t="s">
        <v>175</v>
      </c>
      <c r="B28" s="7" t="s">
        <v>176</v>
      </c>
      <c r="C28" s="7">
        <v>27</v>
      </c>
      <c r="D28" s="7">
        <v>10</v>
      </c>
      <c r="E28" s="7">
        <v>18</v>
      </c>
      <c r="F28" s="7">
        <v>14</v>
      </c>
      <c r="G28" s="19">
        <f t="shared" si="0"/>
        <v>25.2</v>
      </c>
      <c r="H28" s="19">
        <f t="shared" si="1"/>
        <v>52.2</v>
      </c>
      <c r="I28" s="19" t="str">
        <f t="shared" si="2"/>
        <v>PASS</v>
      </c>
      <c r="L28" t="s">
        <v>504</v>
      </c>
    </row>
    <row r="29" spans="1:12" x14ac:dyDescent="0.35">
      <c r="A29" s="7" t="s">
        <v>177</v>
      </c>
      <c r="B29" s="7" t="s">
        <v>178</v>
      </c>
      <c r="C29" s="7">
        <v>18</v>
      </c>
      <c r="D29" s="7">
        <v>10</v>
      </c>
      <c r="E29" s="7">
        <v>10</v>
      </c>
      <c r="F29" s="7">
        <v>14</v>
      </c>
      <c r="G29" s="19">
        <f t="shared" si="0"/>
        <v>20.399999999999999</v>
      </c>
      <c r="H29" s="19">
        <f t="shared" si="1"/>
        <v>38.4</v>
      </c>
      <c r="I29" s="19" t="str">
        <f t="shared" si="2"/>
        <v>PASS</v>
      </c>
    </row>
    <row r="30" spans="1:12" x14ac:dyDescent="0.35">
      <c r="A30" s="7" t="s">
        <v>179</v>
      </c>
      <c r="B30" s="7" t="s">
        <v>180</v>
      </c>
      <c r="C30" s="7">
        <v>17</v>
      </c>
      <c r="D30" s="7">
        <v>10</v>
      </c>
      <c r="E30" s="7">
        <v>18</v>
      </c>
      <c r="F30" s="7">
        <v>14</v>
      </c>
      <c r="G30" s="19">
        <f t="shared" si="0"/>
        <v>25.2</v>
      </c>
      <c r="H30" s="19">
        <f t="shared" si="1"/>
        <v>42.2</v>
      </c>
      <c r="I30" s="19" t="str">
        <f t="shared" si="2"/>
        <v>PASS</v>
      </c>
    </row>
    <row r="31" spans="1:12" x14ac:dyDescent="0.35">
      <c r="A31" s="7" t="s">
        <v>181</v>
      </c>
      <c r="B31" s="7" t="s">
        <v>182</v>
      </c>
      <c r="C31" s="7">
        <v>26</v>
      </c>
      <c r="D31" s="7">
        <v>5</v>
      </c>
      <c r="E31" s="7">
        <v>18</v>
      </c>
      <c r="F31" s="7">
        <v>14</v>
      </c>
      <c r="G31" s="19">
        <f t="shared" si="0"/>
        <v>22.2</v>
      </c>
      <c r="H31" s="19">
        <f t="shared" si="1"/>
        <v>48.2</v>
      </c>
      <c r="I31" s="19" t="str">
        <f t="shared" si="2"/>
        <v>PASS</v>
      </c>
    </row>
    <row r="32" spans="1:12" x14ac:dyDescent="0.35">
      <c r="A32" s="7" t="s">
        <v>183</v>
      </c>
      <c r="B32" s="7" t="s">
        <v>184</v>
      </c>
      <c r="C32" s="7">
        <v>23</v>
      </c>
      <c r="D32" s="7">
        <v>10</v>
      </c>
      <c r="E32" s="7">
        <v>10</v>
      </c>
      <c r="F32" s="7">
        <v>19</v>
      </c>
      <c r="G32" s="19">
        <f t="shared" si="0"/>
        <v>23.4</v>
      </c>
      <c r="H32" s="19">
        <f t="shared" si="1"/>
        <v>46.4</v>
      </c>
      <c r="I32" s="19" t="str">
        <f t="shared" si="2"/>
        <v>PASS</v>
      </c>
    </row>
    <row r="33" spans="1:9" x14ac:dyDescent="0.35">
      <c r="A33" s="7" t="s">
        <v>185</v>
      </c>
      <c r="B33" s="7" t="s">
        <v>186</v>
      </c>
      <c r="C33" s="7">
        <v>18</v>
      </c>
      <c r="D33" s="7">
        <v>10</v>
      </c>
      <c r="E33" s="7">
        <v>18</v>
      </c>
      <c r="F33" s="7">
        <v>10</v>
      </c>
      <c r="G33" s="19">
        <f t="shared" si="0"/>
        <v>22.8</v>
      </c>
      <c r="H33" s="19">
        <f t="shared" si="1"/>
        <v>40.799999999999997</v>
      </c>
      <c r="I33" s="19" t="str">
        <f t="shared" si="2"/>
        <v>PASS</v>
      </c>
    </row>
    <row r="34" spans="1:9" x14ac:dyDescent="0.35">
      <c r="A34" s="7" t="s">
        <v>187</v>
      </c>
      <c r="B34" s="7" t="s">
        <v>188</v>
      </c>
      <c r="C34" s="7">
        <v>27</v>
      </c>
      <c r="D34" s="7">
        <v>10</v>
      </c>
      <c r="E34" s="7">
        <v>10</v>
      </c>
      <c r="F34" s="7">
        <v>19</v>
      </c>
      <c r="G34" s="19">
        <f t="shared" si="0"/>
        <v>23.4</v>
      </c>
      <c r="H34" s="19">
        <f t="shared" si="1"/>
        <v>50.4</v>
      </c>
      <c r="I34" s="19" t="str">
        <f t="shared" si="2"/>
        <v>PASS</v>
      </c>
    </row>
    <row r="35" spans="1:9" x14ac:dyDescent="0.35">
      <c r="A35" s="7" t="s">
        <v>189</v>
      </c>
      <c r="B35" s="7" t="s">
        <v>190</v>
      </c>
      <c r="C35" s="7">
        <v>19</v>
      </c>
      <c r="D35" s="7">
        <v>10</v>
      </c>
      <c r="E35" s="7">
        <v>18</v>
      </c>
      <c r="F35" s="7">
        <v>10</v>
      </c>
      <c r="G35" s="19">
        <f t="shared" si="0"/>
        <v>22.8</v>
      </c>
      <c r="H35" s="19">
        <f t="shared" si="1"/>
        <v>41.8</v>
      </c>
      <c r="I35" s="19" t="str">
        <f t="shared" si="2"/>
        <v>PASS</v>
      </c>
    </row>
    <row r="36" spans="1:9" x14ac:dyDescent="0.35">
      <c r="A36" s="7" t="s">
        <v>191</v>
      </c>
      <c r="B36" s="7" t="s">
        <v>192</v>
      </c>
      <c r="C36" s="7">
        <v>29</v>
      </c>
      <c r="D36" s="7">
        <v>10</v>
      </c>
      <c r="E36" s="7">
        <v>18</v>
      </c>
      <c r="F36" s="7">
        <v>10</v>
      </c>
      <c r="G36" s="19">
        <f t="shared" si="0"/>
        <v>22.8</v>
      </c>
      <c r="H36" s="19">
        <f t="shared" si="1"/>
        <v>51.8</v>
      </c>
      <c r="I36" s="19" t="str">
        <f t="shared" si="2"/>
        <v>PASS</v>
      </c>
    </row>
    <row r="37" spans="1:9" x14ac:dyDescent="0.35">
      <c r="A37" s="7" t="s">
        <v>193</v>
      </c>
      <c r="B37" s="7" t="s">
        <v>194</v>
      </c>
      <c r="C37" s="7">
        <v>29</v>
      </c>
      <c r="D37" s="7">
        <v>10</v>
      </c>
      <c r="E37" s="7">
        <v>10</v>
      </c>
      <c r="F37" s="7">
        <v>19</v>
      </c>
      <c r="G37" s="19">
        <f t="shared" si="0"/>
        <v>23.4</v>
      </c>
      <c r="H37" s="19">
        <f t="shared" si="1"/>
        <v>52.4</v>
      </c>
      <c r="I37" s="19" t="str">
        <f t="shared" si="2"/>
        <v>PASS</v>
      </c>
    </row>
    <row r="38" spans="1:9" x14ac:dyDescent="0.35">
      <c r="A38" s="7" t="s">
        <v>195</v>
      </c>
      <c r="B38" s="7" t="s">
        <v>196</v>
      </c>
      <c r="C38" s="7">
        <v>21</v>
      </c>
      <c r="D38" s="7">
        <v>10</v>
      </c>
      <c r="E38" s="7">
        <v>18</v>
      </c>
      <c r="F38" s="7">
        <v>18</v>
      </c>
      <c r="G38" s="19">
        <f t="shared" si="0"/>
        <v>27.6</v>
      </c>
      <c r="H38" s="19">
        <f t="shared" si="1"/>
        <v>48.6</v>
      </c>
      <c r="I38" s="19" t="str">
        <f t="shared" si="2"/>
        <v>PASS</v>
      </c>
    </row>
    <row r="39" spans="1:9" x14ac:dyDescent="0.35">
      <c r="A39" s="7" t="s">
        <v>197</v>
      </c>
      <c r="B39" s="7" t="s">
        <v>198</v>
      </c>
      <c r="C39" s="7">
        <v>29</v>
      </c>
      <c r="D39" s="7">
        <v>10</v>
      </c>
      <c r="E39" s="7">
        <v>18</v>
      </c>
      <c r="F39" s="7">
        <v>19</v>
      </c>
      <c r="G39" s="19">
        <f t="shared" si="0"/>
        <v>28.2</v>
      </c>
      <c r="H39" s="19">
        <f t="shared" si="1"/>
        <v>57.2</v>
      </c>
      <c r="I39" s="19" t="str">
        <f t="shared" si="2"/>
        <v>PASS</v>
      </c>
    </row>
    <row r="40" spans="1:9" x14ac:dyDescent="0.35">
      <c r="A40" s="7" t="s">
        <v>199</v>
      </c>
      <c r="B40" s="7" t="s">
        <v>200</v>
      </c>
      <c r="C40" s="7">
        <v>3</v>
      </c>
      <c r="D40" s="7">
        <v>10</v>
      </c>
      <c r="E40" s="7">
        <v>18</v>
      </c>
      <c r="F40" s="7">
        <v>10</v>
      </c>
      <c r="G40" s="19">
        <f t="shared" si="0"/>
        <v>22.8</v>
      </c>
      <c r="H40" s="19">
        <f t="shared" si="1"/>
        <v>25.8</v>
      </c>
      <c r="I40" s="22" t="str">
        <f t="shared" si="2"/>
        <v>FAIL</v>
      </c>
    </row>
    <row r="41" spans="1:9" x14ac:dyDescent="0.35">
      <c r="A41" s="7" t="s">
        <v>201</v>
      </c>
      <c r="B41" s="7" t="s">
        <v>202</v>
      </c>
      <c r="C41" s="7">
        <v>24</v>
      </c>
      <c r="D41" s="7">
        <v>10</v>
      </c>
      <c r="E41" s="7">
        <v>17</v>
      </c>
      <c r="F41" s="7">
        <v>18</v>
      </c>
      <c r="G41" s="19">
        <f t="shared" si="0"/>
        <v>27</v>
      </c>
      <c r="H41" s="19">
        <f t="shared" si="1"/>
        <v>51</v>
      </c>
      <c r="I41" s="19" t="str">
        <f t="shared" si="2"/>
        <v>PASS</v>
      </c>
    </row>
    <row r="42" spans="1:9" x14ac:dyDescent="0.35">
      <c r="A42" s="7" t="s">
        <v>203</v>
      </c>
      <c r="B42" s="7" t="s">
        <v>204</v>
      </c>
      <c r="C42" s="7">
        <v>27</v>
      </c>
      <c r="D42" s="7">
        <v>10</v>
      </c>
      <c r="E42" s="7">
        <v>17</v>
      </c>
      <c r="F42" s="7">
        <v>14</v>
      </c>
      <c r="G42" s="19">
        <f t="shared" si="0"/>
        <v>24.6</v>
      </c>
      <c r="H42" s="19">
        <f t="shared" si="1"/>
        <v>51.6</v>
      </c>
      <c r="I42" s="19" t="str">
        <f t="shared" si="2"/>
        <v>PASS</v>
      </c>
    </row>
    <row r="43" spans="1:9" x14ac:dyDescent="0.35">
      <c r="A43" s="7" t="s">
        <v>205</v>
      </c>
      <c r="B43" s="7" t="s">
        <v>206</v>
      </c>
      <c r="C43" s="7">
        <v>28</v>
      </c>
      <c r="D43" s="7">
        <v>10</v>
      </c>
      <c r="E43" s="7">
        <v>18</v>
      </c>
      <c r="F43" s="7">
        <v>14</v>
      </c>
      <c r="G43" s="19">
        <f t="shared" si="0"/>
        <v>25.2</v>
      </c>
      <c r="H43" s="19">
        <f t="shared" si="1"/>
        <v>53.2</v>
      </c>
      <c r="I43" s="19" t="str">
        <f t="shared" si="2"/>
        <v>PASS</v>
      </c>
    </row>
    <row r="44" spans="1:9" x14ac:dyDescent="0.35">
      <c r="A44" s="7" t="s">
        <v>207</v>
      </c>
      <c r="B44" s="7" t="s">
        <v>208</v>
      </c>
      <c r="C44" s="7">
        <v>22</v>
      </c>
      <c r="D44" s="7">
        <v>10</v>
      </c>
      <c r="E44" s="7">
        <v>17</v>
      </c>
      <c r="F44" s="7">
        <v>14</v>
      </c>
      <c r="G44" s="19">
        <f t="shared" si="0"/>
        <v>24.6</v>
      </c>
      <c r="H44" s="19">
        <f t="shared" si="1"/>
        <v>46.6</v>
      </c>
      <c r="I44" s="19" t="str">
        <f t="shared" si="2"/>
        <v>PASS</v>
      </c>
    </row>
    <row r="45" spans="1:9" x14ac:dyDescent="0.35">
      <c r="A45" s="7" t="s">
        <v>209</v>
      </c>
      <c r="B45" s="7" t="s">
        <v>210</v>
      </c>
      <c r="C45" s="7">
        <v>11</v>
      </c>
      <c r="D45" s="7">
        <v>5</v>
      </c>
      <c r="E45" s="7">
        <v>10</v>
      </c>
      <c r="F45" s="7">
        <v>17</v>
      </c>
      <c r="G45" s="19">
        <f t="shared" si="0"/>
        <v>19.2</v>
      </c>
      <c r="H45" s="19">
        <f t="shared" si="1"/>
        <v>30.2</v>
      </c>
      <c r="I45" s="19" t="str">
        <f t="shared" si="2"/>
        <v>PASS</v>
      </c>
    </row>
    <row r="46" spans="1:9" x14ac:dyDescent="0.35">
      <c r="A46" s="7" t="s">
        <v>211</v>
      </c>
      <c r="B46" s="7" t="s">
        <v>212</v>
      </c>
      <c r="C46" s="7">
        <v>29</v>
      </c>
      <c r="D46" s="7">
        <v>5</v>
      </c>
      <c r="E46" s="7">
        <v>10</v>
      </c>
      <c r="F46" s="7">
        <v>19</v>
      </c>
      <c r="G46" s="19">
        <f t="shared" si="0"/>
        <v>20.399999999999999</v>
      </c>
      <c r="H46" s="19">
        <f t="shared" si="1"/>
        <v>49.4</v>
      </c>
      <c r="I46" s="19" t="str">
        <f t="shared" si="2"/>
        <v>PASS</v>
      </c>
    </row>
    <row r="47" spans="1:9" x14ac:dyDescent="0.35">
      <c r="A47" s="7" t="s">
        <v>213</v>
      </c>
      <c r="B47" s="7" t="s">
        <v>214</v>
      </c>
      <c r="C47" s="7">
        <v>15</v>
      </c>
      <c r="D47" s="7">
        <v>5</v>
      </c>
      <c r="E47" s="7">
        <v>18</v>
      </c>
      <c r="F47" s="7">
        <v>10</v>
      </c>
      <c r="G47" s="19">
        <f t="shared" si="0"/>
        <v>19.8</v>
      </c>
      <c r="H47" s="19">
        <f t="shared" si="1"/>
        <v>34.799999999999997</v>
      </c>
      <c r="I47" s="19" t="str">
        <f t="shared" si="2"/>
        <v>PASS</v>
      </c>
    </row>
    <row r="48" spans="1:9" x14ac:dyDescent="0.35">
      <c r="A48" s="7" t="s">
        <v>215</v>
      </c>
      <c r="B48" s="7" t="s">
        <v>216</v>
      </c>
      <c r="C48" s="7">
        <v>26</v>
      </c>
      <c r="D48" s="7">
        <v>10</v>
      </c>
      <c r="E48" s="7">
        <v>18</v>
      </c>
      <c r="F48" s="7">
        <v>10</v>
      </c>
      <c r="G48" s="19">
        <f t="shared" si="0"/>
        <v>22.8</v>
      </c>
      <c r="H48" s="19">
        <f t="shared" si="1"/>
        <v>48.8</v>
      </c>
      <c r="I48" s="19" t="str">
        <f t="shared" si="2"/>
        <v>PASS</v>
      </c>
    </row>
    <row r="49" spans="1:11" x14ac:dyDescent="0.35">
      <c r="A49" s="7" t="s">
        <v>217</v>
      </c>
      <c r="B49" s="7" t="s">
        <v>218</v>
      </c>
      <c r="C49" s="7">
        <v>24</v>
      </c>
      <c r="D49" s="7">
        <v>10</v>
      </c>
      <c r="E49" s="7">
        <v>18</v>
      </c>
      <c r="F49" s="7">
        <v>19</v>
      </c>
      <c r="G49" s="19">
        <f t="shared" si="0"/>
        <v>28.2</v>
      </c>
      <c r="H49" s="19">
        <f t="shared" si="1"/>
        <v>52.2</v>
      </c>
      <c r="I49" s="19" t="str">
        <f t="shared" si="2"/>
        <v>PASS</v>
      </c>
    </row>
    <row r="50" spans="1:11" x14ac:dyDescent="0.35">
      <c r="A50" s="7" t="s">
        <v>219</v>
      </c>
      <c r="B50" s="7" t="s">
        <v>220</v>
      </c>
      <c r="C50" s="7">
        <v>10</v>
      </c>
      <c r="D50" s="7">
        <v>5</v>
      </c>
      <c r="E50" s="7">
        <v>17</v>
      </c>
      <c r="F50" s="7">
        <v>14</v>
      </c>
      <c r="G50" s="19">
        <f t="shared" si="0"/>
        <v>21.6</v>
      </c>
      <c r="H50" s="19">
        <f t="shared" si="1"/>
        <v>31.6</v>
      </c>
      <c r="I50" s="19" t="str">
        <f t="shared" si="2"/>
        <v>PASS</v>
      </c>
    </row>
    <row r="51" spans="1:11" x14ac:dyDescent="0.35">
      <c r="A51" s="7" t="s">
        <v>221</v>
      </c>
      <c r="B51" s="7" t="s">
        <v>222</v>
      </c>
      <c r="C51" s="7">
        <v>25</v>
      </c>
      <c r="D51" s="7">
        <v>10</v>
      </c>
      <c r="E51" s="7">
        <v>10</v>
      </c>
      <c r="F51" s="7">
        <v>17</v>
      </c>
      <c r="G51" s="19">
        <f t="shared" si="0"/>
        <v>22.2</v>
      </c>
      <c r="H51" s="19">
        <f t="shared" si="1"/>
        <v>47.2</v>
      </c>
      <c r="I51" s="19" t="str">
        <f t="shared" si="2"/>
        <v>PASS</v>
      </c>
    </row>
    <row r="52" spans="1:11" x14ac:dyDescent="0.35">
      <c r="A52" s="7" t="s">
        <v>223</v>
      </c>
      <c r="B52" s="7" t="s">
        <v>224</v>
      </c>
      <c r="C52" s="7">
        <v>19</v>
      </c>
      <c r="D52" s="7">
        <v>10</v>
      </c>
      <c r="E52" s="7">
        <v>18</v>
      </c>
      <c r="F52" s="7">
        <v>14</v>
      </c>
      <c r="G52" s="19">
        <f t="shared" si="0"/>
        <v>25.2</v>
      </c>
      <c r="H52" s="19">
        <f t="shared" si="1"/>
        <v>44.2</v>
      </c>
      <c r="I52" s="19" t="str">
        <f t="shared" si="2"/>
        <v>PASS</v>
      </c>
    </row>
    <row r="53" spans="1:11" x14ac:dyDescent="0.35">
      <c r="A53" s="7" t="s">
        <v>225</v>
      </c>
      <c r="B53" s="7" t="s">
        <v>226</v>
      </c>
      <c r="C53" s="8"/>
      <c r="D53" s="7">
        <v>10</v>
      </c>
      <c r="E53" s="7">
        <v>17</v>
      </c>
      <c r="F53" s="7">
        <v>14</v>
      </c>
      <c r="G53" s="19">
        <f t="shared" si="0"/>
        <v>24.6</v>
      </c>
      <c r="H53" s="22"/>
      <c r="I53" s="22"/>
    </row>
    <row r="54" spans="1:11" x14ac:dyDescent="0.35">
      <c r="A54" s="7" t="s">
        <v>227</v>
      </c>
      <c r="B54" s="7" t="s">
        <v>228</v>
      </c>
      <c r="C54" s="7">
        <v>27</v>
      </c>
      <c r="D54" s="7">
        <v>10</v>
      </c>
      <c r="E54" s="7">
        <v>10</v>
      </c>
      <c r="F54" s="7">
        <v>19</v>
      </c>
      <c r="G54" s="19">
        <f t="shared" si="0"/>
        <v>23.4</v>
      </c>
      <c r="H54" s="19">
        <f t="shared" si="1"/>
        <v>50.4</v>
      </c>
      <c r="I54" s="19" t="str">
        <f t="shared" si="2"/>
        <v>PASS</v>
      </c>
    </row>
    <row r="55" spans="1:11" x14ac:dyDescent="0.35">
      <c r="A55" s="7" t="s">
        <v>229</v>
      </c>
      <c r="B55" s="7" t="s">
        <v>230</v>
      </c>
      <c r="C55" s="7">
        <v>21</v>
      </c>
      <c r="D55" s="7">
        <v>5</v>
      </c>
      <c r="E55" s="7">
        <v>18</v>
      </c>
      <c r="F55" s="7">
        <v>10</v>
      </c>
      <c r="G55" s="19">
        <f t="shared" si="0"/>
        <v>19.8</v>
      </c>
      <c r="H55" s="19">
        <f t="shared" si="1"/>
        <v>40.799999999999997</v>
      </c>
      <c r="I55" s="19" t="str">
        <f t="shared" si="2"/>
        <v>PASS</v>
      </c>
    </row>
    <row r="56" spans="1:11" x14ac:dyDescent="0.35">
      <c r="A56" s="7" t="s">
        <v>231</v>
      </c>
      <c r="B56" s="7" t="s">
        <v>232</v>
      </c>
      <c r="C56" s="7">
        <v>16</v>
      </c>
      <c r="D56" s="7">
        <v>10</v>
      </c>
      <c r="E56" s="7">
        <v>18</v>
      </c>
      <c r="F56" s="7">
        <v>10</v>
      </c>
      <c r="G56" s="19">
        <f t="shared" si="0"/>
        <v>22.8</v>
      </c>
      <c r="H56" s="19">
        <f t="shared" si="1"/>
        <v>38.799999999999997</v>
      </c>
      <c r="I56" s="19" t="str">
        <f t="shared" si="2"/>
        <v>PASS</v>
      </c>
    </row>
    <row r="57" spans="1:11" x14ac:dyDescent="0.35">
      <c r="A57" s="7" t="s">
        <v>233</v>
      </c>
      <c r="B57" s="7" t="s">
        <v>234</v>
      </c>
      <c r="C57" s="7">
        <v>29</v>
      </c>
      <c r="D57" s="7">
        <v>10</v>
      </c>
      <c r="E57" s="7">
        <v>10</v>
      </c>
      <c r="F57" s="7">
        <v>17</v>
      </c>
      <c r="G57" s="19">
        <f t="shared" si="0"/>
        <v>22.2</v>
      </c>
      <c r="H57" s="19">
        <f t="shared" si="1"/>
        <v>51.2</v>
      </c>
      <c r="I57" s="19" t="str">
        <f t="shared" si="2"/>
        <v>PASS</v>
      </c>
    </row>
    <row r="58" spans="1:11" x14ac:dyDescent="0.35">
      <c r="A58" s="7" t="s">
        <v>235</v>
      </c>
      <c r="B58" s="7" t="s">
        <v>236</v>
      </c>
      <c r="C58" s="7">
        <v>19</v>
      </c>
      <c r="D58" s="7">
        <v>5</v>
      </c>
      <c r="E58" s="7">
        <v>10</v>
      </c>
      <c r="F58" s="7">
        <v>10</v>
      </c>
      <c r="G58" s="19">
        <f t="shared" si="0"/>
        <v>15</v>
      </c>
      <c r="H58" s="19">
        <f t="shared" si="1"/>
        <v>34</v>
      </c>
      <c r="I58" s="19" t="str">
        <f t="shared" si="2"/>
        <v>PASS</v>
      </c>
    </row>
    <row r="59" spans="1:11" x14ac:dyDescent="0.35">
      <c r="A59" s="7" t="s">
        <v>237</v>
      </c>
      <c r="B59" s="7" t="s">
        <v>238</v>
      </c>
      <c r="C59" s="7">
        <v>14</v>
      </c>
      <c r="D59" s="7">
        <v>10</v>
      </c>
      <c r="E59" s="7">
        <v>10</v>
      </c>
      <c r="F59" s="7">
        <v>10</v>
      </c>
      <c r="G59" s="19">
        <f t="shared" si="0"/>
        <v>18</v>
      </c>
      <c r="H59" s="19">
        <f t="shared" si="1"/>
        <v>32</v>
      </c>
      <c r="I59" s="19" t="str">
        <f t="shared" si="2"/>
        <v>PASS</v>
      </c>
    </row>
    <row r="60" spans="1:11" x14ac:dyDescent="0.35">
      <c r="A60" s="7" t="s">
        <v>239</v>
      </c>
      <c r="B60" s="7" t="s">
        <v>240</v>
      </c>
      <c r="C60" s="7">
        <v>16</v>
      </c>
      <c r="D60" s="7">
        <v>10</v>
      </c>
      <c r="E60" s="7">
        <v>10</v>
      </c>
      <c r="F60" s="7">
        <v>10</v>
      </c>
      <c r="G60" s="19">
        <f t="shared" si="0"/>
        <v>18</v>
      </c>
      <c r="H60" s="19">
        <f t="shared" si="1"/>
        <v>34</v>
      </c>
      <c r="I60" s="19" t="str">
        <f t="shared" si="2"/>
        <v>PASS</v>
      </c>
    </row>
    <row r="61" spans="1:11" x14ac:dyDescent="0.35">
      <c r="A61" s="7" t="s">
        <v>241</v>
      </c>
      <c r="B61" s="7" t="s">
        <v>242</v>
      </c>
      <c r="C61" s="7">
        <v>23</v>
      </c>
      <c r="D61" s="7">
        <v>10</v>
      </c>
      <c r="E61" s="7">
        <v>18</v>
      </c>
      <c r="F61" s="7">
        <v>10</v>
      </c>
      <c r="G61" s="19">
        <f t="shared" si="0"/>
        <v>22.8</v>
      </c>
      <c r="H61" s="19">
        <f t="shared" si="1"/>
        <v>45.8</v>
      </c>
      <c r="I61" s="19" t="str">
        <f t="shared" si="2"/>
        <v>PASS</v>
      </c>
    </row>
    <row r="62" spans="1:11" x14ac:dyDescent="0.35">
      <c r="A62" s="7" t="s">
        <v>243</v>
      </c>
      <c r="B62" s="7" t="s">
        <v>244</v>
      </c>
      <c r="C62" s="7">
        <v>17.5</v>
      </c>
      <c r="D62" s="7">
        <v>10</v>
      </c>
      <c r="E62" s="7">
        <v>18</v>
      </c>
      <c r="F62" s="7">
        <v>14</v>
      </c>
      <c r="G62" s="19">
        <f t="shared" si="0"/>
        <v>25.2</v>
      </c>
      <c r="H62" s="19">
        <f t="shared" si="1"/>
        <v>42.7</v>
      </c>
      <c r="I62" s="19" t="str">
        <f t="shared" si="2"/>
        <v>PASS</v>
      </c>
      <c r="K62" s="5" t="s">
        <v>500</v>
      </c>
    </row>
    <row r="63" spans="1:11" x14ac:dyDescent="0.35">
      <c r="A63" s="7" t="s">
        <v>245</v>
      </c>
      <c r="B63" s="7" t="s">
        <v>246</v>
      </c>
      <c r="C63" s="7">
        <v>12</v>
      </c>
      <c r="D63" s="7">
        <v>10</v>
      </c>
      <c r="E63" s="7">
        <v>18</v>
      </c>
      <c r="F63" s="7">
        <v>10</v>
      </c>
      <c r="G63" s="19">
        <f t="shared" si="0"/>
        <v>22.8</v>
      </c>
      <c r="H63" s="19">
        <f t="shared" si="1"/>
        <v>34.799999999999997</v>
      </c>
      <c r="I63" s="19" t="str">
        <f t="shared" si="2"/>
        <v>PASS</v>
      </c>
    </row>
    <row r="64" spans="1:11" x14ac:dyDescent="0.35">
      <c r="A64" s="20">
        <v>28478</v>
      </c>
      <c r="B64" s="10" t="s">
        <v>247</v>
      </c>
      <c r="C64" s="9">
        <v>19</v>
      </c>
      <c r="D64" s="9">
        <v>10</v>
      </c>
      <c r="E64" s="9">
        <v>10</v>
      </c>
      <c r="F64" s="9">
        <v>10</v>
      </c>
      <c r="G64" s="9">
        <f t="shared" si="0"/>
        <v>18</v>
      </c>
      <c r="H64" s="9">
        <f t="shared" si="1"/>
        <v>37</v>
      </c>
      <c r="I64" s="9" t="str">
        <f t="shared" si="2"/>
        <v>PASS</v>
      </c>
    </row>
    <row r="65" spans="1:9" x14ac:dyDescent="0.35">
      <c r="A65" s="20">
        <v>28455</v>
      </c>
      <c r="B65" s="9" t="s">
        <v>248</v>
      </c>
      <c r="C65" s="9">
        <v>24</v>
      </c>
      <c r="D65" s="9">
        <v>10</v>
      </c>
      <c r="E65" s="9">
        <v>18</v>
      </c>
      <c r="F65" s="9">
        <v>16</v>
      </c>
      <c r="G65" s="9">
        <f t="shared" si="0"/>
        <v>26.4</v>
      </c>
      <c r="H65" s="9">
        <f t="shared" si="1"/>
        <v>50.4</v>
      </c>
      <c r="I65" s="9" t="str">
        <f t="shared" si="2"/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6E98-64A1-4F40-A855-B19C39B7D056}">
  <dimension ref="A1:P72"/>
  <sheetViews>
    <sheetView topLeftCell="A55" workbookViewId="0">
      <selection activeCell="E70" sqref="E70"/>
    </sheetView>
  </sheetViews>
  <sheetFormatPr defaultRowHeight="14.5" x14ac:dyDescent="0.35"/>
  <cols>
    <col min="2" max="2" width="30.08984375" customWidth="1"/>
    <col min="3" max="3" width="9.1796875" customWidth="1"/>
  </cols>
  <sheetData>
    <row r="1" spans="1:16" ht="43.5" x14ac:dyDescent="0.35">
      <c r="A1" s="16" t="s">
        <v>0</v>
      </c>
      <c r="B1" s="16" t="s">
        <v>1</v>
      </c>
      <c r="C1" s="21" t="s">
        <v>521</v>
      </c>
      <c r="D1" s="16" t="s">
        <v>513</v>
      </c>
      <c r="E1" s="16" t="s">
        <v>514</v>
      </c>
      <c r="F1" s="16" t="s">
        <v>515</v>
      </c>
      <c r="G1" s="16" t="s">
        <v>518</v>
      </c>
      <c r="H1" s="16" t="s">
        <v>519</v>
      </c>
      <c r="I1" s="16" t="s">
        <v>520</v>
      </c>
    </row>
    <row r="2" spans="1:16" x14ac:dyDescent="0.35">
      <c r="A2" s="7" t="s">
        <v>249</v>
      </c>
      <c r="B2" s="7" t="s">
        <v>250</v>
      </c>
      <c r="C2" s="7">
        <v>20</v>
      </c>
      <c r="D2" s="7">
        <v>10</v>
      </c>
      <c r="E2" s="7">
        <v>18</v>
      </c>
      <c r="F2" s="7">
        <v>17</v>
      </c>
      <c r="G2" s="7">
        <f>(D2+E2+F2)*30/50</f>
        <v>27</v>
      </c>
      <c r="H2" s="7">
        <f>C2+G2</f>
        <v>47</v>
      </c>
      <c r="I2" s="7" t="str">
        <f>IF(H2&gt;=30,"PASS","FAIL")</f>
        <v>PASS</v>
      </c>
    </row>
    <row r="3" spans="1:16" x14ac:dyDescent="0.35">
      <c r="A3" s="7" t="s">
        <v>251</v>
      </c>
      <c r="B3" s="7" t="s">
        <v>252</v>
      </c>
      <c r="C3" s="7">
        <v>28</v>
      </c>
      <c r="D3" s="7">
        <v>10</v>
      </c>
      <c r="E3" s="7">
        <v>15</v>
      </c>
      <c r="F3" s="7">
        <v>17</v>
      </c>
      <c r="G3" s="7">
        <f t="shared" ref="G3:G66" si="0">(D3+E3+F3)*30/50</f>
        <v>25.2</v>
      </c>
      <c r="H3" s="7">
        <f t="shared" ref="H3:H66" si="1">C3+G3</f>
        <v>53.2</v>
      </c>
      <c r="I3" s="7" t="str">
        <f t="shared" ref="I3:I66" si="2">IF(H3&gt;=30,"PASS","FAIL")</f>
        <v>PASS</v>
      </c>
    </row>
    <row r="4" spans="1:16" x14ac:dyDescent="0.35">
      <c r="A4" s="7" t="s">
        <v>253</v>
      </c>
      <c r="B4" s="7" t="s">
        <v>254</v>
      </c>
      <c r="C4" s="7">
        <v>23</v>
      </c>
      <c r="D4" s="7">
        <v>10</v>
      </c>
      <c r="E4" s="7">
        <v>17</v>
      </c>
      <c r="F4" s="7">
        <v>10</v>
      </c>
      <c r="G4" s="7">
        <f t="shared" si="0"/>
        <v>22.2</v>
      </c>
      <c r="H4" s="7">
        <f t="shared" si="1"/>
        <v>45.2</v>
      </c>
      <c r="I4" s="7" t="str">
        <f t="shared" si="2"/>
        <v>PASS</v>
      </c>
    </row>
    <row r="5" spans="1:16" x14ac:dyDescent="0.35">
      <c r="A5" s="7" t="s">
        <v>255</v>
      </c>
      <c r="B5" s="7" t="s">
        <v>256</v>
      </c>
      <c r="C5" s="7">
        <v>12</v>
      </c>
      <c r="D5" s="7">
        <v>10</v>
      </c>
      <c r="E5" s="7">
        <v>15</v>
      </c>
      <c r="F5" s="7">
        <v>17</v>
      </c>
      <c r="G5" s="7">
        <f t="shared" si="0"/>
        <v>25.2</v>
      </c>
      <c r="H5" s="7">
        <f t="shared" si="1"/>
        <v>37.200000000000003</v>
      </c>
      <c r="I5" s="7" t="str">
        <f t="shared" si="2"/>
        <v>PASS</v>
      </c>
    </row>
    <row r="6" spans="1:16" x14ac:dyDescent="0.35">
      <c r="A6" s="7" t="s">
        <v>257</v>
      </c>
      <c r="B6" s="7" t="s">
        <v>258</v>
      </c>
      <c r="C6" s="7">
        <v>10</v>
      </c>
      <c r="D6" s="7">
        <v>10</v>
      </c>
      <c r="E6" s="7">
        <v>17</v>
      </c>
      <c r="F6" s="7">
        <v>17</v>
      </c>
      <c r="G6" s="7">
        <f t="shared" si="0"/>
        <v>26.4</v>
      </c>
      <c r="H6" s="7">
        <f t="shared" si="1"/>
        <v>36.4</v>
      </c>
      <c r="I6" s="7" t="str">
        <f t="shared" si="2"/>
        <v>PASS</v>
      </c>
    </row>
    <row r="7" spans="1:16" x14ac:dyDescent="0.35">
      <c r="A7" s="7" t="s">
        <v>259</v>
      </c>
      <c r="B7" s="7" t="s">
        <v>260</v>
      </c>
      <c r="C7" s="7">
        <v>23</v>
      </c>
      <c r="D7" s="7">
        <v>10</v>
      </c>
      <c r="E7" s="7">
        <v>17</v>
      </c>
      <c r="F7" s="7">
        <v>10</v>
      </c>
      <c r="G7" s="7">
        <f t="shared" si="0"/>
        <v>22.2</v>
      </c>
      <c r="H7" s="7">
        <f t="shared" si="1"/>
        <v>45.2</v>
      </c>
      <c r="I7" s="7" t="str">
        <f t="shared" si="2"/>
        <v>PASS</v>
      </c>
    </row>
    <row r="8" spans="1:16" x14ac:dyDescent="0.35">
      <c r="A8" s="7" t="s">
        <v>261</v>
      </c>
      <c r="B8" s="7" t="s">
        <v>262</v>
      </c>
      <c r="C8" s="7">
        <v>15</v>
      </c>
      <c r="D8" s="7">
        <v>10</v>
      </c>
      <c r="E8" s="7">
        <v>18</v>
      </c>
      <c r="F8" s="7">
        <v>14</v>
      </c>
      <c r="G8" s="7">
        <f t="shared" si="0"/>
        <v>25.2</v>
      </c>
      <c r="H8" s="7">
        <f t="shared" si="1"/>
        <v>40.200000000000003</v>
      </c>
      <c r="I8" s="7" t="str">
        <f t="shared" si="2"/>
        <v>PASS</v>
      </c>
    </row>
    <row r="9" spans="1:16" x14ac:dyDescent="0.35">
      <c r="A9" s="7" t="s">
        <v>263</v>
      </c>
      <c r="B9" s="7" t="s">
        <v>264</v>
      </c>
      <c r="C9" s="7">
        <v>26</v>
      </c>
      <c r="D9" s="7">
        <v>10</v>
      </c>
      <c r="E9" s="7">
        <v>10</v>
      </c>
      <c r="F9" s="7">
        <v>13</v>
      </c>
      <c r="G9" s="7">
        <f t="shared" si="0"/>
        <v>19.8</v>
      </c>
      <c r="H9" s="7">
        <f t="shared" si="1"/>
        <v>45.8</v>
      </c>
      <c r="I9" s="7" t="str">
        <f t="shared" si="2"/>
        <v>PASS</v>
      </c>
      <c r="L9" t="s">
        <v>510</v>
      </c>
      <c r="P9" t="s">
        <v>516</v>
      </c>
    </row>
    <row r="10" spans="1:16" x14ac:dyDescent="0.35">
      <c r="A10" s="7" t="s">
        <v>265</v>
      </c>
      <c r="B10" s="7" t="s">
        <v>266</v>
      </c>
      <c r="C10" s="7">
        <v>14</v>
      </c>
      <c r="D10" s="7">
        <v>10</v>
      </c>
      <c r="E10" s="7">
        <v>18</v>
      </c>
      <c r="F10" s="7">
        <v>10</v>
      </c>
      <c r="G10" s="7">
        <f t="shared" si="0"/>
        <v>22.8</v>
      </c>
      <c r="H10" s="7">
        <f t="shared" si="1"/>
        <v>36.799999999999997</v>
      </c>
      <c r="I10" s="7" t="str">
        <f t="shared" si="2"/>
        <v>PASS</v>
      </c>
    </row>
    <row r="11" spans="1:16" x14ac:dyDescent="0.35">
      <c r="A11" s="7" t="s">
        <v>267</v>
      </c>
      <c r="B11" s="7" t="s">
        <v>268</v>
      </c>
      <c r="C11" s="7">
        <v>14</v>
      </c>
      <c r="D11" s="7">
        <v>10</v>
      </c>
      <c r="E11" s="7">
        <v>18</v>
      </c>
      <c r="F11" s="7">
        <v>17</v>
      </c>
      <c r="G11" s="7">
        <f t="shared" si="0"/>
        <v>27</v>
      </c>
      <c r="H11" s="7">
        <f t="shared" si="1"/>
        <v>41</v>
      </c>
      <c r="I11" s="7" t="str">
        <f t="shared" si="2"/>
        <v>PASS</v>
      </c>
    </row>
    <row r="12" spans="1:16" x14ac:dyDescent="0.35">
      <c r="A12" s="7" t="s">
        <v>269</v>
      </c>
      <c r="B12" s="7" t="s">
        <v>270</v>
      </c>
      <c r="C12" s="7">
        <v>7</v>
      </c>
      <c r="D12" s="7">
        <v>10</v>
      </c>
      <c r="E12" s="7">
        <v>18</v>
      </c>
      <c r="F12" s="7">
        <v>17</v>
      </c>
      <c r="G12" s="7">
        <f t="shared" si="0"/>
        <v>27</v>
      </c>
      <c r="H12" s="7">
        <f t="shared" si="1"/>
        <v>34</v>
      </c>
      <c r="I12" s="7" t="str">
        <f t="shared" si="2"/>
        <v>PASS</v>
      </c>
    </row>
    <row r="13" spans="1:16" x14ac:dyDescent="0.35">
      <c r="A13" s="7" t="s">
        <v>271</v>
      </c>
      <c r="B13" s="7" t="s">
        <v>272</v>
      </c>
      <c r="C13" s="7">
        <v>23</v>
      </c>
      <c r="D13" s="7">
        <v>10</v>
      </c>
      <c r="E13" s="7">
        <v>18</v>
      </c>
      <c r="F13" s="7">
        <v>17</v>
      </c>
      <c r="G13" s="7">
        <f t="shared" si="0"/>
        <v>27</v>
      </c>
      <c r="H13" s="7">
        <f t="shared" si="1"/>
        <v>50</v>
      </c>
      <c r="I13" s="7" t="str">
        <f t="shared" si="2"/>
        <v>PASS</v>
      </c>
    </row>
    <row r="14" spans="1:16" x14ac:dyDescent="0.35">
      <c r="A14" s="7" t="s">
        <v>273</v>
      </c>
      <c r="B14" s="7" t="s">
        <v>274</v>
      </c>
      <c r="C14" s="7">
        <v>19</v>
      </c>
      <c r="D14" s="7">
        <v>10</v>
      </c>
      <c r="E14" s="7">
        <v>15</v>
      </c>
      <c r="F14" s="7">
        <v>14</v>
      </c>
      <c r="G14" s="7">
        <f t="shared" si="0"/>
        <v>23.4</v>
      </c>
      <c r="H14" s="7">
        <f t="shared" si="1"/>
        <v>42.4</v>
      </c>
      <c r="I14" s="7" t="str">
        <f t="shared" si="2"/>
        <v>PASS</v>
      </c>
    </row>
    <row r="15" spans="1:16" x14ac:dyDescent="0.35">
      <c r="A15" s="7" t="s">
        <v>275</v>
      </c>
      <c r="B15" s="7" t="s">
        <v>276</v>
      </c>
      <c r="C15" s="7">
        <v>19</v>
      </c>
      <c r="D15" s="7">
        <v>10</v>
      </c>
      <c r="E15" s="7">
        <v>17</v>
      </c>
      <c r="F15" s="7">
        <v>19</v>
      </c>
      <c r="G15" s="7">
        <f t="shared" si="0"/>
        <v>27.6</v>
      </c>
      <c r="H15" s="7">
        <f t="shared" si="1"/>
        <v>46.6</v>
      </c>
      <c r="I15" s="7" t="str">
        <f t="shared" si="2"/>
        <v>PASS</v>
      </c>
    </row>
    <row r="16" spans="1:16" x14ac:dyDescent="0.35">
      <c r="A16" s="7" t="s">
        <v>277</v>
      </c>
      <c r="B16" s="7" t="s">
        <v>278</v>
      </c>
      <c r="C16" s="7">
        <v>9</v>
      </c>
      <c r="D16" s="7">
        <v>5</v>
      </c>
      <c r="E16" s="7">
        <v>18</v>
      </c>
      <c r="F16" s="7">
        <v>17</v>
      </c>
      <c r="G16" s="7">
        <f t="shared" si="0"/>
        <v>24</v>
      </c>
      <c r="H16" s="7">
        <f t="shared" si="1"/>
        <v>33</v>
      </c>
      <c r="I16" s="7" t="str">
        <f t="shared" si="2"/>
        <v>PASS</v>
      </c>
    </row>
    <row r="17" spans="1:11" x14ac:dyDescent="0.35">
      <c r="A17" s="7" t="s">
        <v>279</v>
      </c>
      <c r="B17" s="7" t="s">
        <v>280</v>
      </c>
      <c r="C17" s="7">
        <v>20</v>
      </c>
      <c r="D17" s="7">
        <v>10</v>
      </c>
      <c r="E17" s="7">
        <v>18</v>
      </c>
      <c r="F17" s="7">
        <v>17</v>
      </c>
      <c r="G17" s="7">
        <f t="shared" si="0"/>
        <v>27</v>
      </c>
      <c r="H17" s="7">
        <f t="shared" si="1"/>
        <v>47</v>
      </c>
      <c r="I17" s="7" t="str">
        <f t="shared" si="2"/>
        <v>PASS</v>
      </c>
    </row>
    <row r="18" spans="1:11" x14ac:dyDescent="0.35">
      <c r="A18" s="7" t="s">
        <v>281</v>
      </c>
      <c r="B18" s="7" t="s">
        <v>282</v>
      </c>
      <c r="C18" s="7">
        <v>27</v>
      </c>
      <c r="D18" s="7">
        <v>10</v>
      </c>
      <c r="E18" s="7">
        <v>18</v>
      </c>
      <c r="F18" s="7">
        <v>10</v>
      </c>
      <c r="G18" s="7">
        <f t="shared" si="0"/>
        <v>22.8</v>
      </c>
      <c r="H18" s="7">
        <f t="shared" si="1"/>
        <v>49.8</v>
      </c>
      <c r="I18" s="7" t="str">
        <f t="shared" si="2"/>
        <v>PASS</v>
      </c>
    </row>
    <row r="19" spans="1:11" x14ac:dyDescent="0.35">
      <c r="A19" s="7" t="s">
        <v>283</v>
      </c>
      <c r="B19" s="7" t="s">
        <v>284</v>
      </c>
      <c r="C19" s="7">
        <v>26</v>
      </c>
      <c r="D19" s="7">
        <v>10</v>
      </c>
      <c r="E19" s="7">
        <v>10</v>
      </c>
      <c r="F19" s="7">
        <v>18</v>
      </c>
      <c r="G19" s="7">
        <f t="shared" si="0"/>
        <v>22.8</v>
      </c>
      <c r="H19" s="7">
        <f t="shared" si="1"/>
        <v>48.8</v>
      </c>
      <c r="I19" s="7" t="str">
        <f t="shared" si="2"/>
        <v>PASS</v>
      </c>
    </row>
    <row r="20" spans="1:11" x14ac:dyDescent="0.35">
      <c r="A20" s="7" t="s">
        <v>285</v>
      </c>
      <c r="B20" s="7" t="s">
        <v>286</v>
      </c>
      <c r="C20" s="7">
        <v>16</v>
      </c>
      <c r="D20" s="7">
        <v>5</v>
      </c>
      <c r="E20" s="7">
        <v>18</v>
      </c>
      <c r="F20" s="7">
        <v>14</v>
      </c>
      <c r="G20" s="7">
        <f t="shared" si="0"/>
        <v>22.2</v>
      </c>
      <c r="H20" s="7">
        <f t="shared" si="1"/>
        <v>38.200000000000003</v>
      </c>
      <c r="I20" s="7" t="str">
        <f t="shared" si="2"/>
        <v>PASS</v>
      </c>
    </row>
    <row r="21" spans="1:11" x14ac:dyDescent="0.35">
      <c r="A21" s="7" t="s">
        <v>287</v>
      </c>
      <c r="B21" s="7" t="s">
        <v>288</v>
      </c>
      <c r="C21" s="7">
        <v>8</v>
      </c>
      <c r="D21" s="7">
        <v>5</v>
      </c>
      <c r="E21" s="7">
        <v>10</v>
      </c>
      <c r="F21" s="7">
        <v>13</v>
      </c>
      <c r="G21" s="7">
        <f t="shared" si="0"/>
        <v>16.8</v>
      </c>
      <c r="H21" s="7">
        <f t="shared" si="1"/>
        <v>24.8</v>
      </c>
      <c r="I21" s="22" t="str">
        <f t="shared" si="2"/>
        <v>FAIL</v>
      </c>
      <c r="K21" t="s">
        <v>516</v>
      </c>
    </row>
    <row r="22" spans="1:11" x14ac:dyDescent="0.35">
      <c r="A22" s="7" t="s">
        <v>289</v>
      </c>
      <c r="B22" s="7" t="s">
        <v>290</v>
      </c>
      <c r="C22" s="8"/>
      <c r="D22" s="7">
        <v>10</v>
      </c>
      <c r="E22" s="7">
        <v>17</v>
      </c>
      <c r="F22" s="7">
        <v>17</v>
      </c>
      <c r="G22" s="7">
        <f t="shared" si="0"/>
        <v>26.4</v>
      </c>
      <c r="H22" s="7">
        <f t="shared" si="1"/>
        <v>26.4</v>
      </c>
      <c r="I22" s="22" t="str">
        <f t="shared" si="2"/>
        <v>FAIL</v>
      </c>
    </row>
    <row r="23" spans="1:11" x14ac:dyDescent="0.35">
      <c r="A23" s="7" t="s">
        <v>291</v>
      </c>
      <c r="B23" s="7" t="s">
        <v>292</v>
      </c>
      <c r="C23" s="7">
        <v>27</v>
      </c>
      <c r="D23" s="7">
        <v>10</v>
      </c>
      <c r="E23" s="7">
        <v>17</v>
      </c>
      <c r="F23" s="7">
        <v>10</v>
      </c>
      <c r="G23" s="7">
        <f t="shared" si="0"/>
        <v>22.2</v>
      </c>
      <c r="H23" s="7">
        <f t="shared" si="1"/>
        <v>49.2</v>
      </c>
      <c r="I23" s="7" t="str">
        <f t="shared" si="2"/>
        <v>PASS</v>
      </c>
    </row>
    <row r="24" spans="1:11" x14ac:dyDescent="0.35">
      <c r="A24" s="7" t="s">
        <v>293</v>
      </c>
      <c r="B24" s="7" t="s">
        <v>294</v>
      </c>
      <c r="C24" s="7">
        <v>15</v>
      </c>
      <c r="D24" s="7">
        <v>10</v>
      </c>
      <c r="E24" s="7">
        <v>17</v>
      </c>
      <c r="F24" s="7">
        <v>18</v>
      </c>
      <c r="G24" s="7">
        <f t="shared" si="0"/>
        <v>27</v>
      </c>
      <c r="H24" s="7">
        <f t="shared" si="1"/>
        <v>42</v>
      </c>
      <c r="I24" s="7" t="str">
        <f t="shared" si="2"/>
        <v>PASS</v>
      </c>
    </row>
    <row r="25" spans="1:11" x14ac:dyDescent="0.35">
      <c r="A25" s="7" t="s">
        <v>295</v>
      </c>
      <c r="B25" s="7" t="s">
        <v>296</v>
      </c>
      <c r="C25" s="7">
        <v>16</v>
      </c>
      <c r="D25" s="7">
        <v>10</v>
      </c>
      <c r="E25" s="7">
        <v>17</v>
      </c>
      <c r="F25" s="7">
        <v>10</v>
      </c>
      <c r="G25" s="7">
        <f t="shared" si="0"/>
        <v>22.2</v>
      </c>
      <c r="H25" s="7">
        <f t="shared" si="1"/>
        <v>38.200000000000003</v>
      </c>
      <c r="I25" s="7" t="str">
        <f t="shared" si="2"/>
        <v>PASS</v>
      </c>
    </row>
    <row r="26" spans="1:11" x14ac:dyDescent="0.35">
      <c r="A26" s="7" t="s">
        <v>297</v>
      </c>
      <c r="B26" s="7" t="s">
        <v>298</v>
      </c>
      <c r="C26" s="7">
        <v>23</v>
      </c>
      <c r="D26" s="7">
        <v>10</v>
      </c>
      <c r="E26" s="7">
        <v>17</v>
      </c>
      <c r="F26" s="7">
        <v>19</v>
      </c>
      <c r="G26" s="7">
        <f t="shared" si="0"/>
        <v>27.6</v>
      </c>
      <c r="H26" s="7">
        <f t="shared" si="1"/>
        <v>50.6</v>
      </c>
      <c r="I26" s="7" t="str">
        <f t="shared" si="2"/>
        <v>PASS</v>
      </c>
    </row>
    <row r="27" spans="1:11" x14ac:dyDescent="0.35">
      <c r="A27" s="7" t="s">
        <v>299</v>
      </c>
      <c r="B27" s="7" t="s">
        <v>300</v>
      </c>
      <c r="C27" s="7">
        <v>23</v>
      </c>
      <c r="D27" s="7">
        <v>10</v>
      </c>
      <c r="E27" s="7">
        <v>15</v>
      </c>
      <c r="F27" s="7">
        <v>17</v>
      </c>
      <c r="G27" s="7">
        <f t="shared" si="0"/>
        <v>25.2</v>
      </c>
      <c r="H27" s="7">
        <f t="shared" si="1"/>
        <v>48.2</v>
      </c>
      <c r="I27" s="7" t="str">
        <f t="shared" si="2"/>
        <v>PASS</v>
      </c>
    </row>
    <row r="28" spans="1:11" x14ac:dyDescent="0.35">
      <c r="A28" s="7" t="s">
        <v>301</v>
      </c>
      <c r="B28" s="7" t="s">
        <v>302</v>
      </c>
      <c r="C28" s="7">
        <v>21</v>
      </c>
      <c r="D28" s="7">
        <v>10</v>
      </c>
      <c r="E28" s="7">
        <v>17</v>
      </c>
      <c r="F28" s="7">
        <v>10</v>
      </c>
      <c r="G28" s="7">
        <f t="shared" si="0"/>
        <v>22.2</v>
      </c>
      <c r="H28" s="7">
        <f t="shared" si="1"/>
        <v>43.2</v>
      </c>
      <c r="I28" s="7" t="str">
        <f t="shared" si="2"/>
        <v>PASS</v>
      </c>
    </row>
    <row r="29" spans="1:11" x14ac:dyDescent="0.35">
      <c r="A29" s="7" t="s">
        <v>303</v>
      </c>
      <c r="B29" s="7" t="s">
        <v>304</v>
      </c>
      <c r="C29" s="7">
        <v>13</v>
      </c>
      <c r="D29" s="7">
        <v>5</v>
      </c>
      <c r="E29" s="7">
        <v>18</v>
      </c>
      <c r="F29" s="7">
        <v>10</v>
      </c>
      <c r="G29" s="7">
        <f t="shared" si="0"/>
        <v>19.8</v>
      </c>
      <c r="H29" s="7">
        <f t="shared" si="1"/>
        <v>32.799999999999997</v>
      </c>
      <c r="I29" s="7" t="str">
        <f t="shared" si="2"/>
        <v>PASS</v>
      </c>
    </row>
    <row r="30" spans="1:11" x14ac:dyDescent="0.35">
      <c r="A30" s="7" t="s">
        <v>305</v>
      </c>
      <c r="B30" s="7" t="s">
        <v>306</v>
      </c>
      <c r="C30" s="7">
        <v>17</v>
      </c>
      <c r="D30" s="7">
        <v>10</v>
      </c>
      <c r="E30" s="7">
        <v>10</v>
      </c>
      <c r="F30" s="7">
        <v>19</v>
      </c>
      <c r="G30" s="7">
        <f t="shared" si="0"/>
        <v>23.4</v>
      </c>
      <c r="H30" s="7">
        <f t="shared" si="1"/>
        <v>40.4</v>
      </c>
      <c r="I30" s="7" t="str">
        <f t="shared" si="2"/>
        <v>PASS</v>
      </c>
    </row>
    <row r="31" spans="1:11" x14ac:dyDescent="0.35">
      <c r="A31" s="7" t="s">
        <v>307</v>
      </c>
      <c r="B31" s="7" t="s">
        <v>308</v>
      </c>
      <c r="C31" s="7">
        <v>18</v>
      </c>
      <c r="D31" s="7">
        <v>10</v>
      </c>
      <c r="E31" s="7">
        <v>15</v>
      </c>
      <c r="F31" s="7">
        <v>19</v>
      </c>
      <c r="G31" s="7">
        <f t="shared" si="0"/>
        <v>26.4</v>
      </c>
      <c r="H31" s="7">
        <f t="shared" si="1"/>
        <v>44.4</v>
      </c>
      <c r="I31" s="7" t="str">
        <f t="shared" si="2"/>
        <v>PASS</v>
      </c>
    </row>
    <row r="32" spans="1:11" x14ac:dyDescent="0.35">
      <c r="A32" s="7" t="s">
        <v>309</v>
      </c>
      <c r="B32" s="7" t="s">
        <v>310</v>
      </c>
      <c r="C32" s="7">
        <v>20</v>
      </c>
      <c r="D32" s="7">
        <v>10</v>
      </c>
      <c r="E32" s="7">
        <v>15</v>
      </c>
      <c r="F32" s="7">
        <v>19</v>
      </c>
      <c r="G32" s="7">
        <f t="shared" si="0"/>
        <v>26.4</v>
      </c>
      <c r="H32" s="7">
        <f t="shared" si="1"/>
        <v>46.4</v>
      </c>
      <c r="I32" s="7" t="str">
        <f t="shared" si="2"/>
        <v>PASS</v>
      </c>
    </row>
    <row r="33" spans="1:13" x14ac:dyDescent="0.35">
      <c r="A33" s="7" t="s">
        <v>311</v>
      </c>
      <c r="B33" s="7" t="s">
        <v>312</v>
      </c>
      <c r="C33" s="7">
        <v>25</v>
      </c>
      <c r="D33" s="7">
        <v>10</v>
      </c>
      <c r="E33" s="7">
        <v>10</v>
      </c>
      <c r="F33" s="7">
        <v>18</v>
      </c>
      <c r="G33" s="7">
        <f t="shared" si="0"/>
        <v>22.8</v>
      </c>
      <c r="H33" s="7">
        <f t="shared" si="1"/>
        <v>47.8</v>
      </c>
      <c r="I33" s="7" t="str">
        <f t="shared" si="2"/>
        <v>PASS</v>
      </c>
    </row>
    <row r="34" spans="1:13" x14ac:dyDescent="0.35">
      <c r="A34" s="7" t="s">
        <v>313</v>
      </c>
      <c r="B34" s="7" t="s">
        <v>314</v>
      </c>
      <c r="C34" s="7">
        <v>22</v>
      </c>
      <c r="D34" s="7">
        <v>10</v>
      </c>
      <c r="E34" s="7">
        <v>17</v>
      </c>
      <c r="F34" s="7">
        <v>17</v>
      </c>
      <c r="G34" s="7">
        <f t="shared" si="0"/>
        <v>26.4</v>
      </c>
      <c r="H34" s="7">
        <f t="shared" si="1"/>
        <v>48.4</v>
      </c>
      <c r="I34" s="7" t="str">
        <f t="shared" si="2"/>
        <v>PASS</v>
      </c>
    </row>
    <row r="35" spans="1:13" x14ac:dyDescent="0.35">
      <c r="A35" s="7" t="s">
        <v>315</v>
      </c>
      <c r="B35" s="7" t="s">
        <v>316</v>
      </c>
      <c r="C35" s="7">
        <v>13</v>
      </c>
      <c r="D35" s="7">
        <v>5</v>
      </c>
      <c r="E35" s="7">
        <v>18</v>
      </c>
      <c r="F35" s="7">
        <v>14</v>
      </c>
      <c r="G35" s="7">
        <f t="shared" si="0"/>
        <v>22.2</v>
      </c>
      <c r="H35" s="7">
        <f t="shared" si="1"/>
        <v>35.200000000000003</v>
      </c>
      <c r="I35" s="7" t="str">
        <f t="shared" si="2"/>
        <v>PASS</v>
      </c>
    </row>
    <row r="36" spans="1:13" x14ac:dyDescent="0.35">
      <c r="A36" s="7" t="s">
        <v>317</v>
      </c>
      <c r="B36" s="7" t="s">
        <v>318</v>
      </c>
      <c r="C36" s="7">
        <v>12</v>
      </c>
      <c r="D36" s="7">
        <v>5</v>
      </c>
      <c r="E36" s="7">
        <v>17</v>
      </c>
      <c r="F36" s="7">
        <v>17</v>
      </c>
      <c r="G36" s="7">
        <f t="shared" si="0"/>
        <v>23.4</v>
      </c>
      <c r="H36" s="7">
        <f t="shared" si="1"/>
        <v>35.4</v>
      </c>
      <c r="I36" s="7" t="str">
        <f t="shared" si="2"/>
        <v>PASS</v>
      </c>
      <c r="M36" t="s">
        <v>509</v>
      </c>
    </row>
    <row r="37" spans="1:13" x14ac:dyDescent="0.35">
      <c r="A37" s="7" t="s">
        <v>319</v>
      </c>
      <c r="B37" s="7" t="s">
        <v>320</v>
      </c>
      <c r="C37" s="7">
        <v>26</v>
      </c>
      <c r="D37" s="7">
        <v>10</v>
      </c>
      <c r="E37" s="7">
        <v>17</v>
      </c>
      <c r="F37" s="7">
        <v>18</v>
      </c>
      <c r="G37" s="7">
        <f t="shared" si="0"/>
        <v>27</v>
      </c>
      <c r="H37" s="7">
        <f t="shared" si="1"/>
        <v>53</v>
      </c>
      <c r="I37" s="7" t="str">
        <f t="shared" si="2"/>
        <v>PASS</v>
      </c>
    </row>
    <row r="38" spans="1:13" x14ac:dyDescent="0.35">
      <c r="A38" s="7" t="s">
        <v>321</v>
      </c>
      <c r="B38" s="7" t="s">
        <v>322</v>
      </c>
      <c r="C38" s="7">
        <v>22</v>
      </c>
      <c r="D38" s="7">
        <v>10</v>
      </c>
      <c r="E38" s="7">
        <v>15</v>
      </c>
      <c r="F38" s="7">
        <v>17</v>
      </c>
      <c r="G38" s="7">
        <f t="shared" si="0"/>
        <v>25.2</v>
      </c>
      <c r="H38" s="7">
        <f t="shared" si="1"/>
        <v>47.2</v>
      </c>
      <c r="I38" s="7" t="str">
        <f t="shared" si="2"/>
        <v>PASS</v>
      </c>
    </row>
    <row r="39" spans="1:13" x14ac:dyDescent="0.35">
      <c r="A39" s="7" t="s">
        <v>323</v>
      </c>
      <c r="B39" s="7" t="s">
        <v>324</v>
      </c>
      <c r="C39" s="7">
        <v>27</v>
      </c>
      <c r="D39" s="7">
        <v>10</v>
      </c>
      <c r="E39" s="7">
        <v>18</v>
      </c>
      <c r="F39" s="7">
        <v>14</v>
      </c>
      <c r="G39" s="7">
        <f t="shared" si="0"/>
        <v>25.2</v>
      </c>
      <c r="H39" s="7">
        <f t="shared" si="1"/>
        <v>52.2</v>
      </c>
      <c r="I39" s="7" t="str">
        <f t="shared" si="2"/>
        <v>PASS</v>
      </c>
    </row>
    <row r="40" spans="1:13" x14ac:dyDescent="0.35">
      <c r="A40" s="7" t="s">
        <v>325</v>
      </c>
      <c r="B40" s="7" t="s">
        <v>326</v>
      </c>
      <c r="C40" s="7">
        <v>22</v>
      </c>
      <c r="D40" s="7">
        <v>10</v>
      </c>
      <c r="E40" s="7">
        <v>17</v>
      </c>
      <c r="F40" s="7">
        <v>18</v>
      </c>
      <c r="G40" s="7">
        <f t="shared" si="0"/>
        <v>27</v>
      </c>
      <c r="H40" s="7">
        <f t="shared" si="1"/>
        <v>49</v>
      </c>
      <c r="I40" s="7" t="str">
        <f t="shared" si="2"/>
        <v>PASS</v>
      </c>
    </row>
    <row r="41" spans="1:13" x14ac:dyDescent="0.35">
      <c r="A41" s="7" t="s">
        <v>327</v>
      </c>
      <c r="B41" s="7" t="s">
        <v>328</v>
      </c>
      <c r="C41" s="7">
        <v>21</v>
      </c>
      <c r="D41" s="7">
        <v>10</v>
      </c>
      <c r="E41" s="7">
        <v>18</v>
      </c>
      <c r="F41" s="7">
        <v>17</v>
      </c>
      <c r="G41" s="7">
        <f t="shared" si="0"/>
        <v>27</v>
      </c>
      <c r="H41" s="7">
        <f t="shared" si="1"/>
        <v>48</v>
      </c>
      <c r="I41" s="7" t="str">
        <f t="shared" si="2"/>
        <v>PASS</v>
      </c>
    </row>
    <row r="42" spans="1:13" x14ac:dyDescent="0.35">
      <c r="A42" s="7" t="s">
        <v>329</v>
      </c>
      <c r="B42" s="7" t="s">
        <v>330</v>
      </c>
      <c r="C42" s="7">
        <v>21</v>
      </c>
      <c r="D42" s="7">
        <v>10</v>
      </c>
      <c r="E42" s="7">
        <v>15</v>
      </c>
      <c r="F42" s="7">
        <v>19</v>
      </c>
      <c r="G42" s="7">
        <f t="shared" si="0"/>
        <v>26.4</v>
      </c>
      <c r="H42" s="7">
        <f t="shared" si="1"/>
        <v>47.4</v>
      </c>
      <c r="I42" s="7" t="str">
        <f t="shared" si="2"/>
        <v>PASS</v>
      </c>
    </row>
    <row r="43" spans="1:13" x14ac:dyDescent="0.35">
      <c r="A43" s="7" t="s">
        <v>331</v>
      </c>
      <c r="B43" s="7" t="s">
        <v>332</v>
      </c>
      <c r="C43" s="7">
        <v>28</v>
      </c>
      <c r="D43" s="7">
        <v>10</v>
      </c>
      <c r="E43" s="7">
        <v>17</v>
      </c>
      <c r="F43" s="7">
        <v>18</v>
      </c>
      <c r="G43" s="7">
        <f t="shared" si="0"/>
        <v>27</v>
      </c>
      <c r="H43" s="7">
        <f t="shared" si="1"/>
        <v>55</v>
      </c>
      <c r="I43" s="7" t="str">
        <f t="shared" si="2"/>
        <v>PASS</v>
      </c>
    </row>
    <row r="44" spans="1:13" x14ac:dyDescent="0.35">
      <c r="A44" s="7" t="s">
        <v>333</v>
      </c>
      <c r="B44" s="7" t="s">
        <v>334</v>
      </c>
      <c r="C44" s="7">
        <v>16</v>
      </c>
      <c r="D44" s="7">
        <v>10</v>
      </c>
      <c r="E44" s="7">
        <v>18</v>
      </c>
      <c r="F44" s="7">
        <v>17</v>
      </c>
      <c r="G44" s="7">
        <f t="shared" si="0"/>
        <v>27</v>
      </c>
      <c r="H44" s="7">
        <f t="shared" si="1"/>
        <v>43</v>
      </c>
      <c r="I44" s="7" t="str">
        <f t="shared" si="2"/>
        <v>PASS</v>
      </c>
    </row>
    <row r="45" spans="1:13" x14ac:dyDescent="0.35">
      <c r="A45" s="7" t="s">
        <v>335</v>
      </c>
      <c r="B45" s="7" t="s">
        <v>336</v>
      </c>
      <c r="C45" s="7">
        <v>26</v>
      </c>
      <c r="D45" s="7">
        <v>10</v>
      </c>
      <c r="E45" s="7">
        <v>18</v>
      </c>
      <c r="F45" s="7">
        <v>14</v>
      </c>
      <c r="G45" s="7">
        <f t="shared" si="0"/>
        <v>25.2</v>
      </c>
      <c r="H45" s="7">
        <f t="shared" si="1"/>
        <v>51.2</v>
      </c>
      <c r="I45" s="7" t="str">
        <f t="shared" si="2"/>
        <v>PASS</v>
      </c>
      <c r="M45" t="s">
        <v>511</v>
      </c>
    </row>
    <row r="46" spans="1:13" x14ac:dyDescent="0.35">
      <c r="A46" s="7" t="s">
        <v>337</v>
      </c>
      <c r="B46" s="7" t="s">
        <v>338</v>
      </c>
      <c r="C46" s="7">
        <v>18</v>
      </c>
      <c r="D46" s="7">
        <v>10</v>
      </c>
      <c r="E46" s="7">
        <v>18</v>
      </c>
      <c r="F46" s="7">
        <v>17</v>
      </c>
      <c r="G46" s="7">
        <f t="shared" si="0"/>
        <v>27</v>
      </c>
      <c r="H46" s="7">
        <f t="shared" si="1"/>
        <v>45</v>
      </c>
      <c r="I46" s="7" t="str">
        <f t="shared" si="2"/>
        <v>PASS</v>
      </c>
    </row>
    <row r="47" spans="1:13" x14ac:dyDescent="0.35">
      <c r="A47" s="7" t="s">
        <v>339</v>
      </c>
      <c r="B47" s="7" t="s">
        <v>340</v>
      </c>
      <c r="C47" s="7">
        <v>29</v>
      </c>
      <c r="D47" s="7">
        <v>10</v>
      </c>
      <c r="E47" s="7">
        <v>18</v>
      </c>
      <c r="F47" s="7">
        <v>14</v>
      </c>
      <c r="G47" s="7">
        <f t="shared" si="0"/>
        <v>25.2</v>
      </c>
      <c r="H47" s="7">
        <f t="shared" si="1"/>
        <v>54.2</v>
      </c>
      <c r="I47" s="7" t="str">
        <f t="shared" si="2"/>
        <v>PASS</v>
      </c>
    </row>
    <row r="48" spans="1:13" x14ac:dyDescent="0.35">
      <c r="A48" s="7" t="s">
        <v>341</v>
      </c>
      <c r="B48" s="7" t="s">
        <v>342</v>
      </c>
      <c r="C48" s="7">
        <v>26</v>
      </c>
      <c r="D48" s="7">
        <v>10</v>
      </c>
      <c r="E48" s="7">
        <v>15</v>
      </c>
      <c r="F48" s="7">
        <v>17</v>
      </c>
      <c r="G48" s="7">
        <f t="shared" si="0"/>
        <v>25.2</v>
      </c>
      <c r="H48" s="7">
        <f t="shared" si="1"/>
        <v>51.2</v>
      </c>
      <c r="I48" s="7" t="str">
        <f t="shared" si="2"/>
        <v>PASS</v>
      </c>
    </row>
    <row r="49" spans="1:13" x14ac:dyDescent="0.35">
      <c r="A49" s="7" t="s">
        <v>343</v>
      </c>
      <c r="B49" s="7" t="s">
        <v>344</v>
      </c>
      <c r="C49" s="7">
        <v>21</v>
      </c>
      <c r="D49" s="7">
        <v>10</v>
      </c>
      <c r="E49" s="7">
        <v>17</v>
      </c>
      <c r="F49" s="7">
        <v>19</v>
      </c>
      <c r="G49" s="7">
        <f t="shared" si="0"/>
        <v>27.6</v>
      </c>
      <c r="H49" s="7">
        <f t="shared" si="1"/>
        <v>48.6</v>
      </c>
      <c r="I49" s="7" t="str">
        <f t="shared" si="2"/>
        <v>PASS</v>
      </c>
    </row>
    <row r="50" spans="1:13" x14ac:dyDescent="0.35">
      <c r="A50" s="7" t="s">
        <v>345</v>
      </c>
      <c r="B50" s="7" t="s">
        <v>346</v>
      </c>
      <c r="C50" s="7">
        <v>21</v>
      </c>
      <c r="D50" s="7">
        <v>10</v>
      </c>
      <c r="E50" s="7">
        <v>17</v>
      </c>
      <c r="F50" s="7">
        <v>18</v>
      </c>
      <c r="G50" s="7">
        <f t="shared" si="0"/>
        <v>27</v>
      </c>
      <c r="H50" s="7">
        <f t="shared" si="1"/>
        <v>48</v>
      </c>
      <c r="I50" s="7" t="str">
        <f t="shared" si="2"/>
        <v>PASS</v>
      </c>
    </row>
    <row r="51" spans="1:13" x14ac:dyDescent="0.35">
      <c r="A51" s="7" t="s">
        <v>347</v>
      </c>
      <c r="B51" s="7" t="s">
        <v>348</v>
      </c>
      <c r="C51" s="7">
        <v>28</v>
      </c>
      <c r="D51" s="7">
        <v>10</v>
      </c>
      <c r="E51" s="7">
        <v>17</v>
      </c>
      <c r="F51" s="7">
        <v>18</v>
      </c>
      <c r="G51" s="7">
        <f t="shared" si="0"/>
        <v>27</v>
      </c>
      <c r="H51" s="7">
        <f t="shared" si="1"/>
        <v>55</v>
      </c>
      <c r="I51" s="7" t="str">
        <f t="shared" si="2"/>
        <v>PASS</v>
      </c>
    </row>
    <row r="52" spans="1:13" x14ac:dyDescent="0.35">
      <c r="A52" s="7" t="s">
        <v>349</v>
      </c>
      <c r="B52" s="7" t="s">
        <v>350</v>
      </c>
      <c r="C52" s="7">
        <v>29</v>
      </c>
      <c r="D52" s="7">
        <v>10</v>
      </c>
      <c r="E52" s="7">
        <v>10</v>
      </c>
      <c r="F52" s="7">
        <v>18</v>
      </c>
      <c r="G52" s="7">
        <f t="shared" si="0"/>
        <v>22.8</v>
      </c>
      <c r="H52" s="7">
        <f t="shared" si="1"/>
        <v>51.8</v>
      </c>
      <c r="I52" s="7" t="str">
        <f t="shared" si="2"/>
        <v>PASS</v>
      </c>
    </row>
    <row r="53" spans="1:13" x14ac:dyDescent="0.35">
      <c r="A53" s="7" t="s">
        <v>351</v>
      </c>
      <c r="B53" s="7" t="s">
        <v>352</v>
      </c>
      <c r="C53" s="7">
        <v>23</v>
      </c>
      <c r="D53" s="7">
        <v>5</v>
      </c>
      <c r="E53" s="7">
        <v>15</v>
      </c>
      <c r="F53" s="7">
        <v>14</v>
      </c>
      <c r="G53" s="7">
        <f t="shared" si="0"/>
        <v>20.399999999999999</v>
      </c>
      <c r="H53" s="7">
        <f t="shared" si="1"/>
        <v>43.4</v>
      </c>
      <c r="I53" s="7" t="str">
        <f t="shared" si="2"/>
        <v>PASS</v>
      </c>
    </row>
    <row r="54" spans="1:13" x14ac:dyDescent="0.35">
      <c r="A54" s="7" t="s">
        <v>353</v>
      </c>
      <c r="B54" s="7" t="s">
        <v>354</v>
      </c>
      <c r="C54" s="7">
        <v>18</v>
      </c>
      <c r="D54" s="7">
        <v>10</v>
      </c>
      <c r="E54" s="7">
        <v>10</v>
      </c>
      <c r="F54" s="7">
        <v>10</v>
      </c>
      <c r="G54" s="7">
        <f t="shared" si="0"/>
        <v>18</v>
      </c>
      <c r="H54" s="7">
        <f t="shared" si="1"/>
        <v>36</v>
      </c>
      <c r="I54" s="7" t="str">
        <f t="shared" si="2"/>
        <v>PASS</v>
      </c>
    </row>
    <row r="55" spans="1:13" x14ac:dyDescent="0.35">
      <c r="A55" s="7" t="s">
        <v>355</v>
      </c>
      <c r="B55" s="7" t="s">
        <v>356</v>
      </c>
      <c r="C55" s="7">
        <v>29</v>
      </c>
      <c r="D55" s="7">
        <v>10</v>
      </c>
      <c r="E55" s="7">
        <v>15</v>
      </c>
      <c r="F55" s="7">
        <v>14</v>
      </c>
      <c r="G55" s="7">
        <f t="shared" si="0"/>
        <v>23.4</v>
      </c>
      <c r="H55" s="7">
        <f t="shared" si="1"/>
        <v>52.4</v>
      </c>
      <c r="I55" s="7" t="str">
        <f t="shared" si="2"/>
        <v>PASS</v>
      </c>
    </row>
    <row r="56" spans="1:13" x14ac:dyDescent="0.35">
      <c r="A56" s="7" t="s">
        <v>357</v>
      </c>
      <c r="B56" s="7" t="s">
        <v>358</v>
      </c>
      <c r="C56" s="7">
        <v>20</v>
      </c>
      <c r="D56" s="7">
        <v>10</v>
      </c>
      <c r="E56" s="7">
        <v>15</v>
      </c>
      <c r="F56" s="7">
        <v>14</v>
      </c>
      <c r="G56" s="7">
        <f t="shared" si="0"/>
        <v>23.4</v>
      </c>
      <c r="H56" s="7">
        <f t="shared" si="1"/>
        <v>43.4</v>
      </c>
      <c r="I56" s="7" t="str">
        <f t="shared" si="2"/>
        <v>PASS</v>
      </c>
    </row>
    <row r="57" spans="1:13" x14ac:dyDescent="0.35">
      <c r="A57" s="7" t="s">
        <v>359</v>
      </c>
      <c r="B57" s="7" t="s">
        <v>360</v>
      </c>
      <c r="C57" s="7">
        <v>27</v>
      </c>
      <c r="D57" s="7">
        <v>10</v>
      </c>
      <c r="E57" s="7">
        <v>15</v>
      </c>
      <c r="F57" s="7">
        <v>14</v>
      </c>
      <c r="G57" s="7">
        <f t="shared" si="0"/>
        <v>23.4</v>
      </c>
      <c r="H57" s="7">
        <f t="shared" si="1"/>
        <v>50.4</v>
      </c>
      <c r="I57" s="7" t="str">
        <f t="shared" si="2"/>
        <v>PASS</v>
      </c>
    </row>
    <row r="58" spans="1:13" x14ac:dyDescent="0.35">
      <c r="A58" s="7" t="s">
        <v>361</v>
      </c>
      <c r="B58" s="7" t="s">
        <v>362</v>
      </c>
      <c r="C58" s="7">
        <v>14</v>
      </c>
      <c r="D58" s="7">
        <v>10</v>
      </c>
      <c r="E58" s="7">
        <v>15</v>
      </c>
      <c r="F58" s="7">
        <v>14</v>
      </c>
      <c r="G58" s="7">
        <f t="shared" si="0"/>
        <v>23.4</v>
      </c>
      <c r="H58" s="7">
        <f t="shared" si="1"/>
        <v>37.4</v>
      </c>
      <c r="I58" s="7" t="str">
        <f t="shared" si="2"/>
        <v>PASS</v>
      </c>
      <c r="M58" t="s">
        <v>511</v>
      </c>
    </row>
    <row r="59" spans="1:13" x14ac:dyDescent="0.35">
      <c r="A59" s="7" t="s">
        <v>363</v>
      </c>
      <c r="B59" s="7" t="s">
        <v>364</v>
      </c>
      <c r="C59" s="7">
        <v>19</v>
      </c>
      <c r="D59" s="7">
        <v>10</v>
      </c>
      <c r="E59" s="7">
        <v>17</v>
      </c>
      <c r="F59" s="7">
        <v>18</v>
      </c>
      <c r="G59" s="7">
        <f t="shared" si="0"/>
        <v>27</v>
      </c>
      <c r="H59" s="7">
        <f t="shared" si="1"/>
        <v>46</v>
      </c>
      <c r="I59" s="7" t="str">
        <f t="shared" si="2"/>
        <v>PASS</v>
      </c>
    </row>
    <row r="60" spans="1:13" x14ac:dyDescent="0.35">
      <c r="A60" s="7" t="s">
        <v>365</v>
      </c>
      <c r="B60" s="7" t="s">
        <v>366</v>
      </c>
      <c r="C60" s="7">
        <v>10</v>
      </c>
      <c r="D60" s="7">
        <v>10</v>
      </c>
      <c r="E60" s="7">
        <v>10</v>
      </c>
      <c r="F60" s="7">
        <v>13</v>
      </c>
      <c r="G60" s="7">
        <f t="shared" si="0"/>
        <v>19.8</v>
      </c>
      <c r="H60" s="7">
        <f t="shared" si="1"/>
        <v>29.8</v>
      </c>
      <c r="I60" s="22" t="str">
        <f t="shared" si="2"/>
        <v>FAIL</v>
      </c>
    </row>
    <row r="61" spans="1:13" x14ac:dyDescent="0.35">
      <c r="A61" s="7" t="s">
        <v>367</v>
      </c>
      <c r="B61" s="7" t="s">
        <v>368</v>
      </c>
      <c r="C61" s="7">
        <v>13</v>
      </c>
      <c r="D61" s="7">
        <v>10</v>
      </c>
      <c r="E61" s="7">
        <v>17</v>
      </c>
      <c r="F61" s="7">
        <v>10</v>
      </c>
      <c r="G61" s="7">
        <f t="shared" si="0"/>
        <v>22.2</v>
      </c>
      <c r="H61" s="7">
        <f t="shared" si="1"/>
        <v>35.200000000000003</v>
      </c>
      <c r="I61" s="7" t="str">
        <f t="shared" si="2"/>
        <v>PASS</v>
      </c>
    </row>
    <row r="62" spans="1:13" x14ac:dyDescent="0.35">
      <c r="A62" s="7" t="s">
        <v>369</v>
      </c>
      <c r="B62" s="7" t="s">
        <v>370</v>
      </c>
      <c r="C62" s="7">
        <v>24</v>
      </c>
      <c r="D62" s="7">
        <v>10</v>
      </c>
      <c r="E62" s="7">
        <v>18</v>
      </c>
      <c r="F62" s="7">
        <v>10</v>
      </c>
      <c r="G62" s="7">
        <f t="shared" si="0"/>
        <v>22.8</v>
      </c>
      <c r="H62" s="7">
        <f t="shared" si="1"/>
        <v>46.8</v>
      </c>
      <c r="I62" s="7" t="str">
        <f t="shared" si="2"/>
        <v>PASS</v>
      </c>
    </row>
    <row r="63" spans="1:13" x14ac:dyDescent="0.35">
      <c r="A63" s="7" t="s">
        <v>371</v>
      </c>
      <c r="B63" s="7" t="s">
        <v>372</v>
      </c>
      <c r="C63" s="7">
        <v>24</v>
      </c>
      <c r="D63" s="7">
        <v>10</v>
      </c>
      <c r="E63" s="7">
        <v>17</v>
      </c>
      <c r="F63" s="7">
        <v>18</v>
      </c>
      <c r="G63" s="7">
        <f t="shared" si="0"/>
        <v>27</v>
      </c>
      <c r="H63" s="7">
        <f t="shared" si="1"/>
        <v>51</v>
      </c>
      <c r="I63" s="7" t="str">
        <f t="shared" si="2"/>
        <v>PASS</v>
      </c>
    </row>
    <row r="64" spans="1:13" x14ac:dyDescent="0.35">
      <c r="A64" s="7" t="s">
        <v>373</v>
      </c>
      <c r="B64" s="7" t="s">
        <v>374</v>
      </c>
      <c r="C64" s="7">
        <v>19</v>
      </c>
      <c r="D64" s="7">
        <v>10</v>
      </c>
      <c r="E64" s="7">
        <v>17</v>
      </c>
      <c r="F64" s="7">
        <v>18</v>
      </c>
      <c r="G64" s="7">
        <f t="shared" si="0"/>
        <v>27</v>
      </c>
      <c r="H64" s="7">
        <f t="shared" si="1"/>
        <v>46</v>
      </c>
      <c r="I64" s="7" t="str">
        <f t="shared" si="2"/>
        <v>PASS</v>
      </c>
    </row>
    <row r="65" spans="1:9" x14ac:dyDescent="0.35">
      <c r="A65" s="7" t="s">
        <v>375</v>
      </c>
      <c r="B65" s="7" t="s">
        <v>376</v>
      </c>
      <c r="C65" s="7">
        <v>28</v>
      </c>
      <c r="D65" s="7">
        <v>10</v>
      </c>
      <c r="E65" s="7">
        <v>18</v>
      </c>
      <c r="F65" s="7">
        <v>17</v>
      </c>
      <c r="G65" s="7">
        <f t="shared" si="0"/>
        <v>27</v>
      </c>
      <c r="H65" s="7">
        <f t="shared" si="1"/>
        <v>55</v>
      </c>
      <c r="I65" s="7" t="str">
        <f t="shared" si="2"/>
        <v>PASS</v>
      </c>
    </row>
    <row r="66" spans="1:9" x14ac:dyDescent="0.35">
      <c r="A66" s="7" t="s">
        <v>377</v>
      </c>
      <c r="B66" s="7" t="s">
        <v>378</v>
      </c>
      <c r="C66" s="7">
        <v>22</v>
      </c>
      <c r="D66" s="7">
        <v>10</v>
      </c>
      <c r="E66" s="7">
        <v>10</v>
      </c>
      <c r="F66" s="7">
        <v>13</v>
      </c>
      <c r="G66" s="7">
        <f t="shared" si="0"/>
        <v>19.8</v>
      </c>
      <c r="H66" s="7">
        <f t="shared" si="1"/>
        <v>41.8</v>
      </c>
      <c r="I66" s="7" t="str">
        <f t="shared" si="2"/>
        <v>PASS</v>
      </c>
    </row>
    <row r="67" spans="1:9" x14ac:dyDescent="0.35">
      <c r="A67" s="7" t="s">
        <v>379</v>
      </c>
      <c r="B67" s="7" t="s">
        <v>380</v>
      </c>
      <c r="C67" s="7">
        <v>12</v>
      </c>
      <c r="D67" s="7">
        <v>5</v>
      </c>
      <c r="E67" s="7">
        <v>15</v>
      </c>
      <c r="F67" s="7">
        <v>19</v>
      </c>
      <c r="G67" s="7">
        <f t="shared" ref="G67:G68" si="3">(D67+E67+F67)*30/50</f>
        <v>23.4</v>
      </c>
      <c r="H67" s="7">
        <f t="shared" ref="H67:H68" si="4">C67+G67</f>
        <v>35.4</v>
      </c>
      <c r="I67" s="7" t="str">
        <f t="shared" ref="I67:I68" si="5">IF(H67&gt;=30,"PASS","FAIL")</f>
        <v>PASS</v>
      </c>
    </row>
    <row r="68" spans="1:9" x14ac:dyDescent="0.35">
      <c r="A68" s="7" t="s">
        <v>381</v>
      </c>
      <c r="B68" s="7" t="s">
        <v>382</v>
      </c>
      <c r="C68" s="7">
        <v>13</v>
      </c>
      <c r="D68" s="7">
        <v>10</v>
      </c>
      <c r="E68" s="7">
        <v>13</v>
      </c>
      <c r="F68" s="7">
        <v>10</v>
      </c>
      <c r="G68" s="7">
        <f t="shared" si="3"/>
        <v>19.8</v>
      </c>
      <c r="H68" s="7">
        <f t="shared" si="4"/>
        <v>32.799999999999997</v>
      </c>
      <c r="I68" s="7" t="str">
        <f t="shared" si="5"/>
        <v>PASS</v>
      </c>
    </row>
    <row r="69" spans="1:9" x14ac:dyDescent="0.35">
      <c r="A69" s="1">
        <v>28287</v>
      </c>
      <c r="B69" s="1" t="s">
        <v>507</v>
      </c>
      <c r="C69" s="1"/>
      <c r="F69">
        <v>18</v>
      </c>
    </row>
    <row r="70" spans="1:9" x14ac:dyDescent="0.35">
      <c r="A70" s="1">
        <v>25095</v>
      </c>
      <c r="B70" s="1" t="s">
        <v>508</v>
      </c>
      <c r="C70" s="1"/>
      <c r="F70">
        <v>10</v>
      </c>
      <c r="I70" t="s">
        <v>516</v>
      </c>
    </row>
    <row r="71" spans="1:9" x14ac:dyDescent="0.35">
      <c r="A71" s="1"/>
      <c r="B71" s="1"/>
      <c r="C71" s="1"/>
    </row>
    <row r="72" spans="1:9" x14ac:dyDescent="0.35">
      <c r="A72" s="1"/>
      <c r="B72" s="1"/>
      <c r="C7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6A9B-F70D-439F-8684-0D1FA9A5FD04}">
  <dimension ref="A1:L65"/>
  <sheetViews>
    <sheetView topLeftCell="B53" workbookViewId="0">
      <selection activeCell="I62" sqref="I62"/>
    </sheetView>
  </sheetViews>
  <sheetFormatPr defaultRowHeight="14.5" x14ac:dyDescent="0.35"/>
  <cols>
    <col min="2" max="2" width="35.36328125" customWidth="1"/>
    <col min="3" max="3" width="9.1796875" customWidth="1"/>
    <col min="5" max="5" width="13.1796875" customWidth="1"/>
  </cols>
  <sheetData>
    <row r="1" spans="1:12" ht="43.5" x14ac:dyDescent="0.35">
      <c r="A1" s="6" t="s">
        <v>0</v>
      </c>
      <c r="B1" s="16" t="s">
        <v>1</v>
      </c>
      <c r="C1" s="16" t="s">
        <v>521</v>
      </c>
      <c r="D1" s="16" t="s">
        <v>513</v>
      </c>
      <c r="E1" s="16" t="s">
        <v>514</v>
      </c>
      <c r="F1" s="16" t="s">
        <v>515</v>
      </c>
      <c r="G1" s="16" t="s">
        <v>518</v>
      </c>
      <c r="H1" s="16" t="s">
        <v>519</v>
      </c>
      <c r="I1" s="16" t="s">
        <v>520</v>
      </c>
    </row>
    <row r="2" spans="1:12" x14ac:dyDescent="0.35">
      <c r="A2" s="2" t="s">
        <v>383</v>
      </c>
      <c r="B2" s="11" t="s">
        <v>384</v>
      </c>
      <c r="C2" s="17">
        <v>23</v>
      </c>
      <c r="D2" s="17">
        <v>10</v>
      </c>
      <c r="E2" s="17">
        <v>10</v>
      </c>
      <c r="F2" s="17">
        <v>19</v>
      </c>
      <c r="G2" s="17">
        <f>(D2+E2+F2)*30/50</f>
        <v>23.4</v>
      </c>
      <c r="H2" s="17">
        <f>C2+G2</f>
        <v>46.4</v>
      </c>
      <c r="I2" s="17" t="str">
        <f>IF(H2&gt;=30,"PASS","FAIL")</f>
        <v>PASS</v>
      </c>
    </row>
    <row r="3" spans="1:12" x14ac:dyDescent="0.35">
      <c r="A3" s="3" t="s">
        <v>385</v>
      </c>
      <c r="B3" s="12" t="s">
        <v>386</v>
      </c>
      <c r="C3" s="7">
        <v>19</v>
      </c>
      <c r="D3" s="7">
        <v>10</v>
      </c>
      <c r="E3" s="7">
        <v>19</v>
      </c>
      <c r="F3" s="7">
        <v>17</v>
      </c>
      <c r="G3" s="7">
        <f t="shared" ref="G3:G60" si="0">(D3+E3+F3)*30/50</f>
        <v>27.6</v>
      </c>
      <c r="H3" s="7">
        <f t="shared" ref="H3:H60" si="1">C3+G3</f>
        <v>46.6</v>
      </c>
      <c r="I3" s="17" t="str">
        <f t="shared" ref="I3:I60" si="2">IF(H3&gt;=30,"PASS","FAIL")</f>
        <v>PASS</v>
      </c>
      <c r="K3" t="s">
        <v>503</v>
      </c>
    </row>
    <row r="4" spans="1:12" x14ac:dyDescent="0.35">
      <c r="A4" s="2" t="s">
        <v>387</v>
      </c>
      <c r="B4" s="11" t="s">
        <v>388</v>
      </c>
      <c r="C4" s="7">
        <v>13</v>
      </c>
      <c r="D4" s="7">
        <v>5</v>
      </c>
      <c r="E4" s="7">
        <v>17</v>
      </c>
      <c r="F4" s="7">
        <v>17</v>
      </c>
      <c r="G4" s="7">
        <f t="shared" si="0"/>
        <v>23.4</v>
      </c>
      <c r="H4" s="7">
        <f t="shared" si="1"/>
        <v>36.4</v>
      </c>
      <c r="I4" s="17" t="str">
        <f t="shared" si="2"/>
        <v>PASS</v>
      </c>
    </row>
    <row r="5" spans="1:12" x14ac:dyDescent="0.35">
      <c r="A5" s="2" t="s">
        <v>389</v>
      </c>
      <c r="B5" s="11" t="s">
        <v>390</v>
      </c>
      <c r="C5" s="7">
        <v>12</v>
      </c>
      <c r="D5" s="7">
        <v>5</v>
      </c>
      <c r="E5" s="7">
        <v>18</v>
      </c>
      <c r="F5" s="7">
        <v>10</v>
      </c>
      <c r="G5" s="7">
        <f t="shared" si="0"/>
        <v>19.8</v>
      </c>
      <c r="H5" s="7">
        <f t="shared" si="1"/>
        <v>31.8</v>
      </c>
      <c r="I5" s="17" t="str">
        <f t="shared" si="2"/>
        <v>PASS</v>
      </c>
      <c r="L5" t="s">
        <v>512</v>
      </c>
    </row>
    <row r="6" spans="1:12" x14ac:dyDescent="0.35">
      <c r="A6" s="2" t="s">
        <v>391</v>
      </c>
      <c r="B6" s="11" t="s">
        <v>392</v>
      </c>
      <c r="C6" s="7">
        <v>28</v>
      </c>
      <c r="D6" s="7">
        <v>10</v>
      </c>
      <c r="E6" s="7">
        <v>10</v>
      </c>
      <c r="F6" s="7">
        <v>16</v>
      </c>
      <c r="G6" s="7">
        <f t="shared" si="0"/>
        <v>21.6</v>
      </c>
      <c r="H6" s="7">
        <f t="shared" si="1"/>
        <v>49.6</v>
      </c>
      <c r="I6" s="17" t="str">
        <f t="shared" si="2"/>
        <v>PASS</v>
      </c>
    </row>
    <row r="7" spans="1:12" x14ac:dyDescent="0.35">
      <c r="A7" s="2" t="s">
        <v>393</v>
      </c>
      <c r="B7" s="11" t="s">
        <v>394</v>
      </c>
      <c r="C7" s="7">
        <v>23</v>
      </c>
      <c r="D7" s="7">
        <v>10</v>
      </c>
      <c r="E7" s="7">
        <v>17</v>
      </c>
      <c r="F7" s="7">
        <v>17</v>
      </c>
      <c r="G7" s="7">
        <f t="shared" si="0"/>
        <v>26.4</v>
      </c>
      <c r="H7" s="7">
        <f t="shared" si="1"/>
        <v>49.4</v>
      </c>
      <c r="I7" s="17" t="str">
        <f t="shared" si="2"/>
        <v>PASS</v>
      </c>
    </row>
    <row r="8" spans="1:12" x14ac:dyDescent="0.35">
      <c r="A8" s="2" t="s">
        <v>395</v>
      </c>
      <c r="B8" s="11" t="s">
        <v>396</v>
      </c>
      <c r="C8" s="7">
        <v>24</v>
      </c>
      <c r="D8" s="7">
        <v>10</v>
      </c>
      <c r="E8" s="7">
        <v>10</v>
      </c>
      <c r="F8" s="7">
        <v>10</v>
      </c>
      <c r="G8" s="7">
        <f t="shared" si="0"/>
        <v>18</v>
      </c>
      <c r="H8" s="7">
        <f t="shared" si="1"/>
        <v>42</v>
      </c>
      <c r="I8" s="17" t="str">
        <f t="shared" si="2"/>
        <v>PASS</v>
      </c>
    </row>
    <row r="9" spans="1:12" x14ac:dyDescent="0.35">
      <c r="A9" s="2" t="s">
        <v>397</v>
      </c>
      <c r="B9" s="11" t="s">
        <v>398</v>
      </c>
      <c r="C9" s="7">
        <v>23</v>
      </c>
      <c r="D9" s="7">
        <v>10</v>
      </c>
      <c r="E9" s="7">
        <v>10</v>
      </c>
      <c r="F9" s="7">
        <v>16</v>
      </c>
      <c r="G9" s="7">
        <f t="shared" si="0"/>
        <v>21.6</v>
      </c>
      <c r="H9" s="7">
        <f t="shared" si="1"/>
        <v>44.6</v>
      </c>
      <c r="I9" s="17" t="str">
        <f t="shared" si="2"/>
        <v>PASS</v>
      </c>
    </row>
    <row r="10" spans="1:12" x14ac:dyDescent="0.35">
      <c r="A10" s="2" t="s">
        <v>399</v>
      </c>
      <c r="B10" s="11" t="s">
        <v>400</v>
      </c>
      <c r="C10" s="7">
        <v>23</v>
      </c>
      <c r="D10" s="7">
        <v>10</v>
      </c>
      <c r="E10" s="7">
        <v>10</v>
      </c>
      <c r="F10" s="7">
        <v>16</v>
      </c>
      <c r="G10" s="7">
        <f t="shared" si="0"/>
        <v>21.6</v>
      </c>
      <c r="H10" s="7">
        <f t="shared" si="1"/>
        <v>44.6</v>
      </c>
      <c r="I10" s="17" t="str">
        <f t="shared" si="2"/>
        <v>PASS</v>
      </c>
    </row>
    <row r="11" spans="1:12" x14ac:dyDescent="0.35">
      <c r="A11" s="2" t="s">
        <v>401</v>
      </c>
      <c r="B11" s="11" t="s">
        <v>402</v>
      </c>
      <c r="C11" s="7">
        <v>26</v>
      </c>
      <c r="D11" s="7">
        <v>10</v>
      </c>
      <c r="E11" s="7">
        <v>10</v>
      </c>
      <c r="F11" s="7">
        <v>16</v>
      </c>
      <c r="G11" s="7">
        <f t="shared" si="0"/>
        <v>21.6</v>
      </c>
      <c r="H11" s="7">
        <f t="shared" si="1"/>
        <v>47.6</v>
      </c>
      <c r="I11" s="17" t="str">
        <f t="shared" si="2"/>
        <v>PASS</v>
      </c>
    </row>
    <row r="12" spans="1:12" x14ac:dyDescent="0.35">
      <c r="A12" s="2" t="s">
        <v>403</v>
      </c>
      <c r="B12" s="11" t="s">
        <v>404</v>
      </c>
      <c r="C12" s="7">
        <v>24</v>
      </c>
      <c r="D12" s="7">
        <v>10</v>
      </c>
      <c r="E12" s="7">
        <v>10</v>
      </c>
      <c r="F12" s="7">
        <v>16</v>
      </c>
      <c r="G12" s="7">
        <f t="shared" si="0"/>
        <v>21.6</v>
      </c>
      <c r="H12" s="7">
        <f t="shared" si="1"/>
        <v>45.6</v>
      </c>
      <c r="I12" s="17" t="str">
        <f t="shared" si="2"/>
        <v>PASS</v>
      </c>
    </row>
    <row r="13" spans="1:12" x14ac:dyDescent="0.35">
      <c r="A13" s="2" t="s">
        <v>405</v>
      </c>
      <c r="B13" s="11" t="s">
        <v>406</v>
      </c>
      <c r="C13" s="7">
        <v>21</v>
      </c>
      <c r="D13" s="7">
        <v>10</v>
      </c>
      <c r="E13" s="7">
        <v>17</v>
      </c>
      <c r="F13" s="7">
        <v>19</v>
      </c>
      <c r="G13" s="7">
        <f t="shared" si="0"/>
        <v>27.6</v>
      </c>
      <c r="H13" s="7">
        <f t="shared" si="1"/>
        <v>48.6</v>
      </c>
      <c r="I13" s="17" t="str">
        <f t="shared" si="2"/>
        <v>PASS</v>
      </c>
    </row>
    <row r="14" spans="1:12" x14ac:dyDescent="0.35">
      <c r="A14" s="2" t="s">
        <v>407</v>
      </c>
      <c r="B14" s="11" t="s">
        <v>408</v>
      </c>
      <c r="C14" s="7">
        <v>25</v>
      </c>
      <c r="D14" s="7">
        <v>10</v>
      </c>
      <c r="E14" s="7">
        <v>19</v>
      </c>
      <c r="F14" s="7">
        <v>17</v>
      </c>
      <c r="G14" s="7">
        <f t="shared" si="0"/>
        <v>27.6</v>
      </c>
      <c r="H14" s="7">
        <f t="shared" si="1"/>
        <v>52.6</v>
      </c>
      <c r="I14" s="17" t="str">
        <f t="shared" si="2"/>
        <v>PASS</v>
      </c>
    </row>
    <row r="15" spans="1:12" x14ac:dyDescent="0.35">
      <c r="A15" s="2" t="s">
        <v>409</v>
      </c>
      <c r="B15" s="11" t="s">
        <v>132</v>
      </c>
      <c r="C15" s="7">
        <v>21</v>
      </c>
      <c r="D15" s="7">
        <v>5</v>
      </c>
      <c r="E15" s="7">
        <v>10</v>
      </c>
      <c r="F15" s="7">
        <v>19</v>
      </c>
      <c r="G15" s="7">
        <f t="shared" si="0"/>
        <v>20.399999999999999</v>
      </c>
      <c r="H15" s="7">
        <f t="shared" si="1"/>
        <v>41.4</v>
      </c>
      <c r="I15" s="17" t="str">
        <f t="shared" si="2"/>
        <v>PASS</v>
      </c>
    </row>
    <row r="16" spans="1:12" x14ac:dyDescent="0.35">
      <c r="A16" s="2" t="s">
        <v>410</v>
      </c>
      <c r="B16" s="11" t="s">
        <v>411</v>
      </c>
      <c r="C16" s="7">
        <v>7</v>
      </c>
      <c r="D16" s="7">
        <v>10</v>
      </c>
      <c r="E16" s="7">
        <v>10</v>
      </c>
      <c r="F16" s="7">
        <v>19</v>
      </c>
      <c r="G16" s="7">
        <f t="shared" si="0"/>
        <v>23.4</v>
      </c>
      <c r="H16" s="7">
        <f t="shared" si="1"/>
        <v>30.4</v>
      </c>
      <c r="I16" s="17" t="str">
        <f t="shared" si="2"/>
        <v>PASS</v>
      </c>
    </row>
    <row r="17" spans="1:12" x14ac:dyDescent="0.35">
      <c r="A17" s="2" t="s">
        <v>412</v>
      </c>
      <c r="B17" s="11" t="s">
        <v>413</v>
      </c>
      <c r="C17" s="7">
        <v>14</v>
      </c>
      <c r="D17" s="7">
        <v>10</v>
      </c>
      <c r="E17" s="7">
        <v>10</v>
      </c>
      <c r="F17" s="7">
        <v>10</v>
      </c>
      <c r="G17" s="7">
        <f t="shared" si="0"/>
        <v>18</v>
      </c>
      <c r="H17" s="7">
        <f t="shared" si="1"/>
        <v>32</v>
      </c>
      <c r="I17" s="17" t="str">
        <f t="shared" si="2"/>
        <v>PASS</v>
      </c>
      <c r="K17" t="s">
        <v>509</v>
      </c>
    </row>
    <row r="18" spans="1:12" x14ac:dyDescent="0.35">
      <c r="A18" s="2" t="s">
        <v>414</v>
      </c>
      <c r="B18" s="11" t="s">
        <v>415</v>
      </c>
      <c r="C18" s="7">
        <v>25</v>
      </c>
      <c r="D18" s="7">
        <v>10</v>
      </c>
      <c r="E18" s="7">
        <v>18</v>
      </c>
      <c r="F18" s="7">
        <v>19</v>
      </c>
      <c r="G18" s="7">
        <f t="shared" si="0"/>
        <v>28.2</v>
      </c>
      <c r="H18" s="7">
        <f t="shared" si="1"/>
        <v>53.2</v>
      </c>
      <c r="I18" s="17" t="str">
        <f t="shared" si="2"/>
        <v>PASS</v>
      </c>
    </row>
    <row r="19" spans="1:12" x14ac:dyDescent="0.35">
      <c r="A19" s="4" t="s">
        <v>416</v>
      </c>
      <c r="B19" s="12" t="s">
        <v>417</v>
      </c>
      <c r="C19" s="7">
        <v>14</v>
      </c>
      <c r="D19" s="7">
        <v>10</v>
      </c>
      <c r="E19" s="7">
        <v>10</v>
      </c>
      <c r="F19" s="7">
        <v>19</v>
      </c>
      <c r="G19" s="7">
        <f t="shared" si="0"/>
        <v>23.4</v>
      </c>
      <c r="H19" s="7">
        <f t="shared" si="1"/>
        <v>37.4</v>
      </c>
      <c r="I19" s="17" t="str">
        <f t="shared" si="2"/>
        <v>PASS</v>
      </c>
    </row>
    <row r="20" spans="1:12" x14ac:dyDescent="0.35">
      <c r="A20" s="2" t="s">
        <v>418</v>
      </c>
      <c r="B20" s="11" t="s">
        <v>419</v>
      </c>
      <c r="C20" s="7">
        <v>20</v>
      </c>
      <c r="D20" s="7">
        <v>10</v>
      </c>
      <c r="E20" s="7">
        <v>19</v>
      </c>
      <c r="F20" s="7">
        <v>17</v>
      </c>
      <c r="G20" s="7">
        <f t="shared" si="0"/>
        <v>27.6</v>
      </c>
      <c r="H20" s="7">
        <f t="shared" si="1"/>
        <v>47.6</v>
      </c>
      <c r="I20" s="17" t="str">
        <f t="shared" si="2"/>
        <v>PASS</v>
      </c>
    </row>
    <row r="21" spans="1:12" x14ac:dyDescent="0.35">
      <c r="A21" s="2" t="s">
        <v>420</v>
      </c>
      <c r="B21" s="11" t="s">
        <v>421</v>
      </c>
      <c r="C21" s="7">
        <v>15</v>
      </c>
      <c r="D21" s="7">
        <v>10</v>
      </c>
      <c r="E21" s="7">
        <v>19</v>
      </c>
      <c r="F21" s="7">
        <v>18</v>
      </c>
      <c r="G21" s="7">
        <f t="shared" si="0"/>
        <v>28.2</v>
      </c>
      <c r="H21" s="7">
        <f t="shared" si="1"/>
        <v>43.2</v>
      </c>
      <c r="I21" s="17" t="str">
        <f t="shared" si="2"/>
        <v>PASS</v>
      </c>
    </row>
    <row r="22" spans="1:12" x14ac:dyDescent="0.35">
      <c r="A22" s="2" t="s">
        <v>422</v>
      </c>
      <c r="B22" s="11" t="s">
        <v>423</v>
      </c>
      <c r="C22" s="7">
        <v>13</v>
      </c>
      <c r="D22" s="7">
        <v>10</v>
      </c>
      <c r="E22" s="7">
        <v>14</v>
      </c>
      <c r="F22" s="7">
        <v>17</v>
      </c>
      <c r="G22" s="7">
        <f t="shared" si="0"/>
        <v>24.6</v>
      </c>
      <c r="H22" s="7">
        <f t="shared" si="1"/>
        <v>37.6</v>
      </c>
      <c r="I22" s="17" t="str">
        <f t="shared" si="2"/>
        <v>PASS</v>
      </c>
    </row>
    <row r="23" spans="1:12" x14ac:dyDescent="0.35">
      <c r="A23" s="2" t="s">
        <v>424</v>
      </c>
      <c r="B23" s="11" t="s">
        <v>425</v>
      </c>
      <c r="C23" s="7">
        <v>19</v>
      </c>
      <c r="D23" s="7">
        <v>10</v>
      </c>
      <c r="E23" s="7">
        <v>10</v>
      </c>
      <c r="F23" s="7">
        <v>19</v>
      </c>
      <c r="G23" s="7">
        <f t="shared" si="0"/>
        <v>23.4</v>
      </c>
      <c r="H23" s="7">
        <f t="shared" si="1"/>
        <v>42.4</v>
      </c>
      <c r="I23" s="17" t="str">
        <f t="shared" si="2"/>
        <v>PASS</v>
      </c>
    </row>
    <row r="24" spans="1:12" x14ac:dyDescent="0.35">
      <c r="A24" s="2" t="s">
        <v>426</v>
      </c>
      <c r="B24" s="11" t="s">
        <v>427</v>
      </c>
      <c r="C24" s="7">
        <v>22</v>
      </c>
      <c r="D24" s="7">
        <v>10</v>
      </c>
      <c r="E24" s="7">
        <v>19</v>
      </c>
      <c r="F24" s="7">
        <v>19</v>
      </c>
      <c r="G24" s="7">
        <f t="shared" si="0"/>
        <v>28.8</v>
      </c>
      <c r="H24" s="7">
        <f t="shared" si="1"/>
        <v>50.8</v>
      </c>
      <c r="I24" s="17" t="str">
        <f t="shared" si="2"/>
        <v>PASS</v>
      </c>
    </row>
    <row r="25" spans="1:12" x14ac:dyDescent="0.35">
      <c r="A25" s="2" t="s">
        <v>428</v>
      </c>
      <c r="B25" s="11" t="s">
        <v>429</v>
      </c>
      <c r="C25" s="7">
        <v>29</v>
      </c>
      <c r="D25" s="7">
        <v>10</v>
      </c>
      <c r="E25" s="7">
        <v>19</v>
      </c>
      <c r="F25" s="7">
        <v>19</v>
      </c>
      <c r="G25" s="7">
        <f t="shared" si="0"/>
        <v>28.8</v>
      </c>
      <c r="H25" s="7">
        <f t="shared" si="1"/>
        <v>57.8</v>
      </c>
      <c r="I25" s="17" t="str">
        <f t="shared" si="2"/>
        <v>PASS</v>
      </c>
    </row>
    <row r="26" spans="1:12" x14ac:dyDescent="0.35">
      <c r="A26" s="2" t="s">
        <v>430</v>
      </c>
      <c r="B26" s="11" t="s">
        <v>431</v>
      </c>
      <c r="C26" s="7">
        <v>25</v>
      </c>
      <c r="D26" s="7">
        <v>5</v>
      </c>
      <c r="E26" s="7">
        <v>18</v>
      </c>
      <c r="F26" s="7">
        <v>16</v>
      </c>
      <c r="G26" s="7">
        <f t="shared" si="0"/>
        <v>23.4</v>
      </c>
      <c r="H26" s="7">
        <f t="shared" si="1"/>
        <v>48.4</v>
      </c>
      <c r="I26" s="17" t="str">
        <f t="shared" si="2"/>
        <v>PASS</v>
      </c>
    </row>
    <row r="27" spans="1:12" x14ac:dyDescent="0.35">
      <c r="A27" s="2" t="s">
        <v>432</v>
      </c>
      <c r="B27" s="11" t="s">
        <v>433</v>
      </c>
      <c r="C27" s="7">
        <v>25</v>
      </c>
      <c r="D27" s="7">
        <v>10</v>
      </c>
      <c r="E27" s="7">
        <v>10</v>
      </c>
      <c r="F27" s="7">
        <v>17</v>
      </c>
      <c r="G27" s="7">
        <f t="shared" si="0"/>
        <v>22.2</v>
      </c>
      <c r="H27" s="7">
        <f t="shared" si="1"/>
        <v>47.2</v>
      </c>
      <c r="I27" s="17" t="str">
        <f t="shared" si="2"/>
        <v>PASS</v>
      </c>
    </row>
    <row r="28" spans="1:12" x14ac:dyDescent="0.35">
      <c r="A28" s="2" t="s">
        <v>434</v>
      </c>
      <c r="B28" s="11" t="s">
        <v>435</v>
      </c>
      <c r="C28" s="7">
        <v>13</v>
      </c>
      <c r="D28" s="7">
        <v>10</v>
      </c>
      <c r="E28" s="7">
        <v>10</v>
      </c>
      <c r="F28" s="7">
        <v>19</v>
      </c>
      <c r="G28" s="7">
        <f t="shared" si="0"/>
        <v>23.4</v>
      </c>
      <c r="H28" s="7">
        <f t="shared" si="1"/>
        <v>36.4</v>
      </c>
      <c r="I28" s="17" t="str">
        <f t="shared" si="2"/>
        <v>PASS</v>
      </c>
    </row>
    <row r="29" spans="1:12" x14ac:dyDescent="0.35">
      <c r="A29" s="2" t="s">
        <v>436</v>
      </c>
      <c r="B29" s="11" t="s">
        <v>437</v>
      </c>
      <c r="C29" s="7">
        <v>24</v>
      </c>
      <c r="D29" s="7">
        <v>10</v>
      </c>
      <c r="E29" s="7">
        <v>19</v>
      </c>
      <c r="F29" s="7">
        <v>19</v>
      </c>
      <c r="G29" s="7">
        <f t="shared" si="0"/>
        <v>28.8</v>
      </c>
      <c r="H29" s="7">
        <f t="shared" si="1"/>
        <v>52.8</v>
      </c>
      <c r="I29" s="17" t="str">
        <f t="shared" si="2"/>
        <v>PASS</v>
      </c>
    </row>
    <row r="30" spans="1:12" x14ac:dyDescent="0.35">
      <c r="A30" s="2" t="s">
        <v>438</v>
      </c>
      <c r="B30" s="11" t="s">
        <v>439</v>
      </c>
      <c r="C30" s="7">
        <v>18</v>
      </c>
      <c r="D30" s="7">
        <v>10</v>
      </c>
      <c r="E30" s="7">
        <v>10</v>
      </c>
      <c r="F30" s="7">
        <v>19</v>
      </c>
      <c r="G30" s="7">
        <f t="shared" si="0"/>
        <v>23.4</v>
      </c>
      <c r="H30" s="7">
        <f t="shared" si="1"/>
        <v>41.4</v>
      </c>
      <c r="I30" s="17" t="str">
        <f t="shared" si="2"/>
        <v>PASS</v>
      </c>
    </row>
    <row r="31" spans="1:12" x14ac:dyDescent="0.35">
      <c r="A31" s="2" t="s">
        <v>440</v>
      </c>
      <c r="B31" s="11" t="s">
        <v>441</v>
      </c>
      <c r="C31" s="7">
        <v>5</v>
      </c>
      <c r="D31" s="7">
        <v>10</v>
      </c>
      <c r="E31" s="7">
        <v>10</v>
      </c>
      <c r="F31" s="7">
        <v>19</v>
      </c>
      <c r="G31" s="7">
        <f t="shared" si="0"/>
        <v>23.4</v>
      </c>
      <c r="H31" s="7">
        <f t="shared" si="1"/>
        <v>28.4</v>
      </c>
      <c r="I31" s="23" t="str">
        <f t="shared" si="2"/>
        <v>FAIL</v>
      </c>
    </row>
    <row r="32" spans="1:12" x14ac:dyDescent="0.35">
      <c r="A32" s="2" t="s">
        <v>442</v>
      </c>
      <c r="B32" s="11" t="s">
        <v>443</v>
      </c>
      <c r="C32" s="7">
        <v>21</v>
      </c>
      <c r="D32" s="7">
        <v>10</v>
      </c>
      <c r="E32" s="7">
        <v>10</v>
      </c>
      <c r="F32" s="7">
        <v>10</v>
      </c>
      <c r="G32" s="7">
        <f t="shared" si="0"/>
        <v>18</v>
      </c>
      <c r="H32" s="7">
        <f t="shared" si="1"/>
        <v>39</v>
      </c>
      <c r="I32" s="17" t="str">
        <f t="shared" si="2"/>
        <v>PASS</v>
      </c>
      <c r="L32" t="s">
        <v>509</v>
      </c>
    </row>
    <row r="33" spans="1:12" x14ac:dyDescent="0.35">
      <c r="A33" s="2" t="s">
        <v>444</v>
      </c>
      <c r="B33" s="11" t="s">
        <v>445</v>
      </c>
      <c r="C33" s="7">
        <v>20</v>
      </c>
      <c r="D33" s="7">
        <v>10</v>
      </c>
      <c r="E33" s="7">
        <v>14</v>
      </c>
      <c r="F33" s="7">
        <v>18</v>
      </c>
      <c r="G33" s="7">
        <f t="shared" si="0"/>
        <v>25.2</v>
      </c>
      <c r="H33" s="7">
        <f t="shared" si="1"/>
        <v>45.2</v>
      </c>
      <c r="I33" s="17" t="str">
        <f t="shared" si="2"/>
        <v>PASS</v>
      </c>
    </row>
    <row r="34" spans="1:12" x14ac:dyDescent="0.35">
      <c r="A34" s="2" t="s">
        <v>446</v>
      </c>
      <c r="B34" s="11" t="s">
        <v>447</v>
      </c>
      <c r="C34" s="7">
        <v>26</v>
      </c>
      <c r="D34" s="7">
        <v>10</v>
      </c>
      <c r="E34" s="7">
        <v>18</v>
      </c>
      <c r="F34" s="7">
        <v>17</v>
      </c>
      <c r="G34" s="7">
        <f t="shared" si="0"/>
        <v>27</v>
      </c>
      <c r="H34" s="7">
        <f t="shared" si="1"/>
        <v>53</v>
      </c>
      <c r="I34" s="17" t="str">
        <f t="shared" si="2"/>
        <v>PASS</v>
      </c>
    </row>
    <row r="35" spans="1:12" x14ac:dyDescent="0.35">
      <c r="A35" s="2" t="s">
        <v>448</v>
      </c>
      <c r="B35" s="11" t="s">
        <v>449</v>
      </c>
      <c r="C35" s="7">
        <v>26</v>
      </c>
      <c r="D35" s="7">
        <v>10</v>
      </c>
      <c r="E35" s="7">
        <v>18</v>
      </c>
      <c r="F35" s="7">
        <v>17</v>
      </c>
      <c r="G35" s="7">
        <f t="shared" si="0"/>
        <v>27</v>
      </c>
      <c r="H35" s="7">
        <f t="shared" si="1"/>
        <v>53</v>
      </c>
      <c r="I35" s="17" t="str">
        <f t="shared" si="2"/>
        <v>PASS</v>
      </c>
    </row>
    <row r="36" spans="1:12" x14ac:dyDescent="0.35">
      <c r="A36" s="2" t="s">
        <v>450</v>
      </c>
      <c r="B36" s="11" t="s">
        <v>451</v>
      </c>
      <c r="C36" s="7">
        <v>18</v>
      </c>
      <c r="D36" s="7">
        <v>10</v>
      </c>
      <c r="E36" s="7">
        <v>18</v>
      </c>
      <c r="F36" s="7">
        <v>18</v>
      </c>
      <c r="G36" s="7">
        <f t="shared" si="0"/>
        <v>27.6</v>
      </c>
      <c r="H36" s="7">
        <f t="shared" si="1"/>
        <v>45.6</v>
      </c>
      <c r="I36" s="17" t="str">
        <f t="shared" si="2"/>
        <v>PASS</v>
      </c>
    </row>
    <row r="37" spans="1:12" x14ac:dyDescent="0.35">
      <c r="A37" s="2" t="s">
        <v>452</v>
      </c>
      <c r="B37" s="11" t="s">
        <v>453</v>
      </c>
      <c r="C37" s="7">
        <v>28</v>
      </c>
      <c r="D37" s="7">
        <v>10</v>
      </c>
      <c r="E37" s="7">
        <v>18</v>
      </c>
      <c r="F37" s="7">
        <v>18</v>
      </c>
      <c r="G37" s="7">
        <f t="shared" si="0"/>
        <v>27.6</v>
      </c>
      <c r="H37" s="7">
        <f t="shared" si="1"/>
        <v>55.6</v>
      </c>
      <c r="I37" s="17" t="str">
        <f t="shared" si="2"/>
        <v>PASS</v>
      </c>
    </row>
    <row r="38" spans="1:12" x14ac:dyDescent="0.35">
      <c r="A38" s="2" t="s">
        <v>454</v>
      </c>
      <c r="B38" s="11" t="s">
        <v>455</v>
      </c>
      <c r="C38" s="7">
        <v>22</v>
      </c>
      <c r="D38" s="7">
        <v>10</v>
      </c>
      <c r="E38" s="7">
        <v>14</v>
      </c>
      <c r="F38" s="7">
        <v>16</v>
      </c>
      <c r="G38" s="7">
        <f t="shared" si="0"/>
        <v>24</v>
      </c>
      <c r="H38" s="7">
        <f t="shared" si="1"/>
        <v>46</v>
      </c>
      <c r="I38" s="17" t="str">
        <f t="shared" si="2"/>
        <v>PASS</v>
      </c>
    </row>
    <row r="39" spans="1:12" x14ac:dyDescent="0.35">
      <c r="A39" s="2" t="s">
        <v>456</v>
      </c>
      <c r="B39" s="11" t="s">
        <v>457</v>
      </c>
      <c r="C39" s="7">
        <v>19</v>
      </c>
      <c r="D39" s="7">
        <v>5</v>
      </c>
      <c r="E39" s="7">
        <v>18</v>
      </c>
      <c r="F39" s="7">
        <v>10</v>
      </c>
      <c r="G39" s="7">
        <f t="shared" si="0"/>
        <v>19.8</v>
      </c>
      <c r="H39" s="7">
        <f t="shared" si="1"/>
        <v>38.799999999999997</v>
      </c>
      <c r="I39" s="17" t="str">
        <f t="shared" si="2"/>
        <v>PASS</v>
      </c>
    </row>
    <row r="40" spans="1:12" x14ac:dyDescent="0.35">
      <c r="A40" s="2" t="s">
        <v>458</v>
      </c>
      <c r="B40" s="11" t="s">
        <v>459</v>
      </c>
      <c r="C40" s="7">
        <v>19</v>
      </c>
      <c r="D40" s="7">
        <v>10</v>
      </c>
      <c r="E40" s="7">
        <v>18</v>
      </c>
      <c r="F40" s="7">
        <v>18</v>
      </c>
      <c r="G40" s="7">
        <f t="shared" si="0"/>
        <v>27.6</v>
      </c>
      <c r="H40" s="7">
        <f t="shared" si="1"/>
        <v>46.6</v>
      </c>
      <c r="I40" s="17" t="str">
        <f t="shared" si="2"/>
        <v>PASS</v>
      </c>
    </row>
    <row r="41" spans="1:12" x14ac:dyDescent="0.35">
      <c r="A41" s="2" t="s">
        <v>460</v>
      </c>
      <c r="B41" s="11" t="s">
        <v>461</v>
      </c>
      <c r="C41" s="7">
        <v>17</v>
      </c>
      <c r="D41" s="7">
        <v>10</v>
      </c>
      <c r="E41" s="7">
        <v>10</v>
      </c>
      <c r="F41" s="7">
        <v>18</v>
      </c>
      <c r="G41" s="7">
        <f t="shared" si="0"/>
        <v>22.8</v>
      </c>
      <c r="H41" s="7">
        <f t="shared" si="1"/>
        <v>39.799999999999997</v>
      </c>
      <c r="I41" s="17" t="str">
        <f t="shared" si="2"/>
        <v>PASS</v>
      </c>
    </row>
    <row r="42" spans="1:12" x14ac:dyDescent="0.35">
      <c r="A42" s="2" t="s">
        <v>462</v>
      </c>
      <c r="B42" s="11" t="s">
        <v>463</v>
      </c>
      <c r="C42" s="7">
        <v>23</v>
      </c>
      <c r="D42" s="7">
        <v>10</v>
      </c>
      <c r="E42" s="7">
        <v>17</v>
      </c>
      <c r="F42" s="7">
        <v>18</v>
      </c>
      <c r="G42" s="7">
        <f t="shared" si="0"/>
        <v>27</v>
      </c>
      <c r="H42" s="7">
        <f t="shared" si="1"/>
        <v>50</v>
      </c>
      <c r="I42" s="17" t="str">
        <f t="shared" si="2"/>
        <v>PASS</v>
      </c>
    </row>
    <row r="43" spans="1:12" x14ac:dyDescent="0.35">
      <c r="A43" s="2" t="s">
        <v>464</v>
      </c>
      <c r="B43" s="11" t="s">
        <v>465</v>
      </c>
      <c r="C43" s="7">
        <v>22</v>
      </c>
      <c r="D43" s="7">
        <v>10</v>
      </c>
      <c r="E43" s="7">
        <v>14</v>
      </c>
      <c r="F43" s="7">
        <v>19</v>
      </c>
      <c r="G43" s="7">
        <f t="shared" si="0"/>
        <v>25.8</v>
      </c>
      <c r="H43" s="7">
        <f t="shared" si="1"/>
        <v>47.8</v>
      </c>
      <c r="I43" s="17" t="str">
        <f t="shared" si="2"/>
        <v>PASS</v>
      </c>
    </row>
    <row r="44" spans="1:12" x14ac:dyDescent="0.35">
      <c r="A44" s="2" t="s">
        <v>466</v>
      </c>
      <c r="B44" s="11" t="s">
        <v>467</v>
      </c>
      <c r="C44" s="7">
        <v>17</v>
      </c>
      <c r="D44" s="7">
        <v>5</v>
      </c>
      <c r="E44" s="7">
        <v>10</v>
      </c>
      <c r="F44" s="7">
        <v>18</v>
      </c>
      <c r="G44" s="7">
        <f t="shared" si="0"/>
        <v>19.8</v>
      </c>
      <c r="H44" s="7">
        <f t="shared" si="1"/>
        <v>36.799999999999997</v>
      </c>
      <c r="I44" s="17" t="str">
        <f t="shared" si="2"/>
        <v>PASS</v>
      </c>
    </row>
    <row r="45" spans="1:12" x14ac:dyDescent="0.35">
      <c r="A45" s="2" t="s">
        <v>468</v>
      </c>
      <c r="B45" s="11" t="s">
        <v>469</v>
      </c>
      <c r="C45" s="8"/>
      <c r="D45" s="7">
        <v>5</v>
      </c>
      <c r="E45" s="7">
        <v>10</v>
      </c>
      <c r="F45" s="7">
        <v>10</v>
      </c>
      <c r="G45" s="7">
        <f t="shared" si="0"/>
        <v>15</v>
      </c>
      <c r="H45" s="7">
        <f t="shared" si="1"/>
        <v>15</v>
      </c>
      <c r="I45" s="23" t="str">
        <f t="shared" si="2"/>
        <v>FAIL</v>
      </c>
      <c r="L45" t="s">
        <v>506</v>
      </c>
    </row>
    <row r="46" spans="1:12" x14ac:dyDescent="0.35">
      <c r="A46" s="2" t="s">
        <v>470</v>
      </c>
      <c r="B46" s="11" t="s">
        <v>471</v>
      </c>
      <c r="C46" s="7">
        <v>22</v>
      </c>
      <c r="D46" s="7">
        <v>10</v>
      </c>
      <c r="E46" s="7">
        <v>14</v>
      </c>
      <c r="F46" s="7">
        <v>19</v>
      </c>
      <c r="G46" s="7">
        <f t="shared" si="0"/>
        <v>25.8</v>
      </c>
      <c r="H46" s="7">
        <f t="shared" si="1"/>
        <v>47.8</v>
      </c>
      <c r="I46" s="17" t="str">
        <f t="shared" si="2"/>
        <v>PASS</v>
      </c>
    </row>
    <row r="47" spans="1:12" x14ac:dyDescent="0.35">
      <c r="A47" s="2" t="s">
        <v>472</v>
      </c>
      <c r="B47" s="11" t="s">
        <v>473</v>
      </c>
      <c r="C47" s="7">
        <v>19</v>
      </c>
      <c r="D47" s="7">
        <v>5</v>
      </c>
      <c r="E47" s="7">
        <v>10</v>
      </c>
      <c r="F47" s="7">
        <v>19</v>
      </c>
      <c r="G47" s="7">
        <f t="shared" si="0"/>
        <v>20.399999999999999</v>
      </c>
      <c r="H47" s="7">
        <f t="shared" si="1"/>
        <v>39.4</v>
      </c>
      <c r="I47" s="17" t="str">
        <f t="shared" si="2"/>
        <v>PASS</v>
      </c>
    </row>
    <row r="48" spans="1:12" x14ac:dyDescent="0.35">
      <c r="A48" s="2" t="s">
        <v>474</v>
      </c>
      <c r="B48" s="11" t="s">
        <v>475</v>
      </c>
      <c r="C48" s="7">
        <v>18</v>
      </c>
      <c r="D48" s="7">
        <v>10</v>
      </c>
      <c r="E48" s="7">
        <v>18</v>
      </c>
      <c r="F48" s="7">
        <v>19</v>
      </c>
      <c r="G48" s="7">
        <f t="shared" si="0"/>
        <v>28.2</v>
      </c>
      <c r="H48" s="7">
        <f t="shared" si="1"/>
        <v>46.2</v>
      </c>
      <c r="I48" s="17" t="str">
        <f t="shared" si="2"/>
        <v>PASS</v>
      </c>
    </row>
    <row r="49" spans="1:12" s="14" customFormat="1" x14ac:dyDescent="0.35">
      <c r="A49" s="4" t="s">
        <v>476</v>
      </c>
      <c r="B49" s="13" t="s">
        <v>477</v>
      </c>
      <c r="C49" s="8"/>
      <c r="D49" s="8"/>
      <c r="E49" s="8"/>
      <c r="F49" s="8"/>
      <c r="G49" s="8"/>
      <c r="H49" s="8"/>
      <c r="I49" s="18"/>
      <c r="L49" s="14" t="s">
        <v>505</v>
      </c>
    </row>
    <row r="50" spans="1:12" x14ac:dyDescent="0.35">
      <c r="A50" s="2" t="s">
        <v>478</v>
      </c>
      <c r="B50" s="11" t="s">
        <v>479</v>
      </c>
      <c r="C50" s="7">
        <v>26</v>
      </c>
      <c r="D50" s="7">
        <v>10</v>
      </c>
      <c r="E50" s="7">
        <v>17</v>
      </c>
      <c r="F50" s="7">
        <v>19</v>
      </c>
      <c r="G50" s="7">
        <f t="shared" si="0"/>
        <v>27.6</v>
      </c>
      <c r="H50" s="7">
        <f t="shared" si="1"/>
        <v>53.6</v>
      </c>
      <c r="I50" s="17" t="str">
        <f t="shared" si="2"/>
        <v>PASS</v>
      </c>
    </row>
    <row r="51" spans="1:12" x14ac:dyDescent="0.35">
      <c r="A51" s="2" t="s">
        <v>480</v>
      </c>
      <c r="B51" s="11" t="s">
        <v>481</v>
      </c>
      <c r="C51" s="7">
        <v>25</v>
      </c>
      <c r="D51" s="7">
        <v>10</v>
      </c>
      <c r="E51" s="7">
        <v>18</v>
      </c>
      <c r="F51" s="7">
        <v>17</v>
      </c>
      <c r="G51" s="7">
        <f t="shared" si="0"/>
        <v>27</v>
      </c>
      <c r="H51" s="7">
        <f t="shared" si="1"/>
        <v>52</v>
      </c>
      <c r="I51" s="17" t="str">
        <f t="shared" si="2"/>
        <v>PASS</v>
      </c>
    </row>
    <row r="52" spans="1:12" x14ac:dyDescent="0.35">
      <c r="A52" s="2" t="s">
        <v>482</v>
      </c>
      <c r="B52" s="11" t="s">
        <v>483</v>
      </c>
      <c r="C52" s="7">
        <v>16</v>
      </c>
      <c r="D52" s="7">
        <v>10</v>
      </c>
      <c r="E52" s="7">
        <v>18</v>
      </c>
      <c r="F52" s="7">
        <v>17</v>
      </c>
      <c r="G52" s="7">
        <f t="shared" si="0"/>
        <v>27</v>
      </c>
      <c r="H52" s="7">
        <f t="shared" si="1"/>
        <v>43</v>
      </c>
      <c r="I52" s="17" t="str">
        <f t="shared" si="2"/>
        <v>PASS</v>
      </c>
    </row>
    <row r="53" spans="1:12" x14ac:dyDescent="0.35">
      <c r="A53" s="2" t="s">
        <v>484</v>
      </c>
      <c r="B53" s="11" t="s">
        <v>485</v>
      </c>
      <c r="C53" s="7">
        <v>19</v>
      </c>
      <c r="D53" s="7">
        <v>10</v>
      </c>
      <c r="E53" s="7">
        <v>19</v>
      </c>
      <c r="F53" s="7">
        <v>17</v>
      </c>
      <c r="G53" s="7">
        <f t="shared" si="0"/>
        <v>27.6</v>
      </c>
      <c r="H53" s="7">
        <f t="shared" si="1"/>
        <v>46.6</v>
      </c>
      <c r="I53" s="17" t="str">
        <f t="shared" si="2"/>
        <v>PASS</v>
      </c>
    </row>
    <row r="54" spans="1:12" x14ac:dyDescent="0.35">
      <c r="A54" s="2" t="s">
        <v>486</v>
      </c>
      <c r="B54" s="11" t="s">
        <v>487</v>
      </c>
      <c r="C54" s="7">
        <v>14</v>
      </c>
      <c r="D54" s="7">
        <v>10</v>
      </c>
      <c r="E54" s="7">
        <v>18</v>
      </c>
      <c r="F54" s="7">
        <v>16</v>
      </c>
      <c r="G54" s="7">
        <f t="shared" si="0"/>
        <v>26.4</v>
      </c>
      <c r="H54" s="7">
        <f t="shared" si="1"/>
        <v>40.4</v>
      </c>
      <c r="I54" s="17" t="str">
        <f t="shared" si="2"/>
        <v>PASS</v>
      </c>
    </row>
    <row r="55" spans="1:12" x14ac:dyDescent="0.35">
      <c r="A55" s="2" t="s">
        <v>488</v>
      </c>
      <c r="B55" s="11" t="s">
        <v>489</v>
      </c>
      <c r="C55" s="7">
        <v>27</v>
      </c>
      <c r="D55" s="7">
        <v>10</v>
      </c>
      <c r="E55" s="7">
        <v>18</v>
      </c>
      <c r="F55" s="7">
        <v>17</v>
      </c>
      <c r="G55" s="7">
        <f t="shared" si="0"/>
        <v>27</v>
      </c>
      <c r="H55" s="7">
        <f t="shared" si="1"/>
        <v>54</v>
      </c>
      <c r="I55" s="17" t="str">
        <f t="shared" si="2"/>
        <v>PASS</v>
      </c>
    </row>
    <row r="56" spans="1:12" x14ac:dyDescent="0.35">
      <c r="A56" s="2" t="s">
        <v>490</v>
      </c>
      <c r="B56" s="11" t="s">
        <v>491</v>
      </c>
      <c r="C56" s="7">
        <v>23</v>
      </c>
      <c r="D56" s="7">
        <v>0</v>
      </c>
      <c r="E56" s="7">
        <v>17</v>
      </c>
      <c r="F56" s="7">
        <v>17</v>
      </c>
      <c r="G56" s="7">
        <f t="shared" si="0"/>
        <v>20.399999999999999</v>
      </c>
      <c r="H56" s="7">
        <f t="shared" si="1"/>
        <v>43.4</v>
      </c>
      <c r="I56" s="17" t="str">
        <f t="shared" si="2"/>
        <v>PASS</v>
      </c>
    </row>
    <row r="57" spans="1:12" x14ac:dyDescent="0.35">
      <c r="A57" s="2" t="s">
        <v>492</v>
      </c>
      <c r="B57" s="11" t="s">
        <v>493</v>
      </c>
      <c r="C57" s="7">
        <v>29</v>
      </c>
      <c r="D57" s="7">
        <v>10</v>
      </c>
      <c r="E57" s="7">
        <v>17</v>
      </c>
      <c r="F57" s="7">
        <v>19</v>
      </c>
      <c r="G57" s="7">
        <f t="shared" si="0"/>
        <v>27.6</v>
      </c>
      <c r="H57" s="7">
        <f t="shared" si="1"/>
        <v>56.6</v>
      </c>
      <c r="I57" s="17" t="str">
        <f t="shared" si="2"/>
        <v>PASS</v>
      </c>
    </row>
    <row r="58" spans="1:12" x14ac:dyDescent="0.35">
      <c r="A58" s="2" t="s">
        <v>494</v>
      </c>
      <c r="B58" s="11" t="s">
        <v>495</v>
      </c>
      <c r="C58" s="7">
        <v>23</v>
      </c>
      <c r="D58" s="7">
        <v>10</v>
      </c>
      <c r="E58" s="7">
        <v>19</v>
      </c>
      <c r="F58" s="7">
        <v>19</v>
      </c>
      <c r="G58" s="7">
        <f t="shared" si="0"/>
        <v>28.8</v>
      </c>
      <c r="H58" s="7">
        <f t="shared" si="1"/>
        <v>51.8</v>
      </c>
      <c r="I58" s="17" t="str">
        <f t="shared" si="2"/>
        <v>PASS</v>
      </c>
    </row>
    <row r="59" spans="1:12" x14ac:dyDescent="0.35">
      <c r="A59" s="2" t="s">
        <v>496</v>
      </c>
      <c r="B59" s="11" t="s">
        <v>497</v>
      </c>
      <c r="C59" s="7">
        <v>28</v>
      </c>
      <c r="D59" s="7">
        <v>10</v>
      </c>
      <c r="E59" s="7">
        <v>10</v>
      </c>
      <c r="F59" s="7">
        <v>17</v>
      </c>
      <c r="G59" s="7">
        <f t="shared" si="0"/>
        <v>22.2</v>
      </c>
      <c r="H59" s="7">
        <f t="shared" si="1"/>
        <v>50.2</v>
      </c>
      <c r="I59" s="17" t="str">
        <f t="shared" si="2"/>
        <v>PASS</v>
      </c>
    </row>
    <row r="60" spans="1:12" x14ac:dyDescent="0.35">
      <c r="A60" s="1">
        <v>26090</v>
      </c>
      <c r="B60" s="9" t="s">
        <v>502</v>
      </c>
      <c r="C60" s="9">
        <v>6</v>
      </c>
      <c r="D60" s="9">
        <v>10</v>
      </c>
      <c r="E60" s="9">
        <v>10</v>
      </c>
      <c r="F60" s="9">
        <v>10</v>
      </c>
      <c r="G60" s="9">
        <f t="shared" si="0"/>
        <v>18</v>
      </c>
      <c r="H60" s="9">
        <f t="shared" si="1"/>
        <v>24</v>
      </c>
      <c r="I60" s="10" t="str">
        <f t="shared" si="2"/>
        <v>FAIL</v>
      </c>
    </row>
    <row r="61" spans="1:12" x14ac:dyDescent="0.35">
      <c r="A61" s="1"/>
      <c r="B61" s="15"/>
    </row>
    <row r="62" spans="1:12" x14ac:dyDescent="0.35">
      <c r="A62" s="1"/>
      <c r="B62" s="15"/>
    </row>
    <row r="63" spans="1:12" x14ac:dyDescent="0.35">
      <c r="A63" s="1"/>
      <c r="B63" s="15"/>
    </row>
    <row r="64" spans="1:12" x14ac:dyDescent="0.35">
      <c r="A64" s="1"/>
      <c r="B64" s="15"/>
    </row>
    <row r="65" spans="1:2" x14ac:dyDescent="0.35">
      <c r="A65" s="1"/>
      <c r="B6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</vt:lpstr>
      <vt:lpstr>L</vt:lpstr>
      <vt:lpstr>F</vt:lpstr>
      <vt:lpstr>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Gaspard Gashema</cp:lastModifiedBy>
  <dcterms:created xsi:type="dcterms:W3CDTF">2025-12-10T04:34:29Z</dcterms:created>
  <dcterms:modified xsi:type="dcterms:W3CDTF">2025-12-10T20:09:58Z</dcterms:modified>
</cp:coreProperties>
</file>