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antal\Desktop\"/>
    </mc:Choice>
  </mc:AlternateContent>
  <xr:revisionPtr revIDLastSave="0" documentId="13_ncr:1_{1119A225-4916-4F5D-AFF7-17EA7B533F8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G" sheetId="1" r:id="rId1"/>
    <sheet name="L" sheetId="2" r:id="rId2"/>
    <sheet name="F" sheetId="3" r:id="rId3"/>
    <sheet name="I" sheetId="4" r:id="rId4"/>
  </sheets>
  <definedNames>
    <definedName name="_xlnm.Print_Area" localSheetId="0">G!$A$1:$N$91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2" l="1"/>
  <c r="L19" i="2"/>
  <c r="G90" i="2" s="1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E90" i="2" s="1"/>
  <c r="L61" i="2"/>
  <c r="L62" i="2"/>
  <c r="L63" i="2"/>
  <c r="L64" i="2"/>
  <c r="L65" i="2"/>
  <c r="L66" i="2"/>
  <c r="L68" i="2"/>
  <c r="L69" i="2"/>
  <c r="L70" i="2"/>
  <c r="L71" i="2"/>
  <c r="L72" i="2"/>
  <c r="L73" i="2"/>
  <c r="L74" i="2"/>
  <c r="L75" i="2"/>
  <c r="L76" i="2"/>
  <c r="L77" i="2"/>
  <c r="L78" i="2"/>
  <c r="L79" i="2"/>
  <c r="L16" i="2"/>
  <c r="J85" i="4"/>
  <c r="M93" i="3"/>
  <c r="K93" i="3"/>
  <c r="J93" i="3"/>
  <c r="M90" i="2"/>
  <c r="J90" i="2"/>
  <c r="K90" i="2"/>
  <c r="M85" i="4"/>
  <c r="K85" i="4"/>
  <c r="D90" i="2"/>
  <c r="M86" i="1"/>
  <c r="K86" i="1"/>
  <c r="J86" i="1"/>
  <c r="F90" i="2" l="1"/>
  <c r="G16" i="4"/>
  <c r="G73" i="4"/>
  <c r="I73" i="4" s="1"/>
  <c r="G72" i="4"/>
  <c r="I72" i="4" s="1"/>
  <c r="K72" i="4" s="1"/>
  <c r="L72" i="4" s="1"/>
  <c r="G71" i="4"/>
  <c r="I71" i="4" s="1"/>
  <c r="K71" i="4" s="1"/>
  <c r="L71" i="4" s="1"/>
  <c r="G70" i="4"/>
  <c r="I70" i="4" s="1"/>
  <c r="K70" i="4" s="1"/>
  <c r="L70" i="4" s="1"/>
  <c r="G69" i="4"/>
  <c r="I69" i="4" s="1"/>
  <c r="K69" i="4" s="1"/>
  <c r="L69" i="4" s="1"/>
  <c r="G68" i="4"/>
  <c r="I68" i="4" s="1"/>
  <c r="K68" i="4" s="1"/>
  <c r="L68" i="4" s="1"/>
  <c r="G67" i="4"/>
  <c r="I67" i="4" s="1"/>
  <c r="K67" i="4" s="1"/>
  <c r="L67" i="4" s="1"/>
  <c r="G66" i="4"/>
  <c r="I66" i="4" s="1"/>
  <c r="K66" i="4" s="1"/>
  <c r="L66" i="4" s="1"/>
  <c r="G65" i="4"/>
  <c r="I65" i="4" s="1"/>
  <c r="K65" i="4" s="1"/>
  <c r="L65" i="4" s="1"/>
  <c r="G64" i="4"/>
  <c r="I64" i="4" s="1"/>
  <c r="K64" i="4" s="1"/>
  <c r="L64" i="4" s="1"/>
  <c r="G63" i="4"/>
  <c r="I63" i="4" s="1"/>
  <c r="K63" i="4" s="1"/>
  <c r="L63" i="4" s="1"/>
  <c r="G62" i="4"/>
  <c r="I62" i="4" s="1"/>
  <c r="K62" i="4" s="1"/>
  <c r="L62" i="4" s="1"/>
  <c r="G61" i="4"/>
  <c r="I61" i="4" s="1"/>
  <c r="K61" i="4" s="1"/>
  <c r="L61" i="4" s="1"/>
  <c r="G60" i="4"/>
  <c r="I60" i="4" s="1"/>
  <c r="K60" i="4" s="1"/>
  <c r="L60" i="4" s="1"/>
  <c r="G59" i="4"/>
  <c r="G58" i="4"/>
  <c r="I58" i="4" s="1"/>
  <c r="K58" i="4" s="1"/>
  <c r="L58" i="4" s="1"/>
  <c r="G57" i="4"/>
  <c r="I57" i="4" s="1"/>
  <c r="K57" i="4" s="1"/>
  <c r="L57" i="4" s="1"/>
  <c r="G56" i="4"/>
  <c r="I56" i="4" s="1"/>
  <c r="K56" i="4" s="1"/>
  <c r="L56" i="4" s="1"/>
  <c r="G55" i="4"/>
  <c r="I55" i="4" s="1"/>
  <c r="K55" i="4" s="1"/>
  <c r="L55" i="4" s="1"/>
  <c r="G54" i="4"/>
  <c r="I54" i="4" s="1"/>
  <c r="K54" i="4" s="1"/>
  <c r="L54" i="4" s="1"/>
  <c r="G53" i="4"/>
  <c r="I53" i="4" s="1"/>
  <c r="K53" i="4" s="1"/>
  <c r="L53" i="4" s="1"/>
  <c r="G52" i="4"/>
  <c r="I52" i="4" s="1"/>
  <c r="K52" i="4" s="1"/>
  <c r="L52" i="4" s="1"/>
  <c r="G51" i="4"/>
  <c r="I51" i="4" s="1"/>
  <c r="K51" i="4" s="1"/>
  <c r="L51" i="4" s="1"/>
  <c r="G50" i="4"/>
  <c r="I50" i="4" s="1"/>
  <c r="K50" i="4" s="1"/>
  <c r="L50" i="4" s="1"/>
  <c r="G49" i="4"/>
  <c r="I49" i="4" s="1"/>
  <c r="K49" i="4" s="1"/>
  <c r="L49" i="4" s="1"/>
  <c r="G48" i="4"/>
  <c r="I48" i="4" s="1"/>
  <c r="K48" i="4" s="1"/>
  <c r="L48" i="4" s="1"/>
  <c r="G47" i="4"/>
  <c r="I47" i="4" s="1"/>
  <c r="K47" i="4" s="1"/>
  <c r="L47" i="4" s="1"/>
  <c r="G46" i="4"/>
  <c r="I46" i="4" s="1"/>
  <c r="K46" i="4" s="1"/>
  <c r="L46" i="4" s="1"/>
  <c r="G45" i="4"/>
  <c r="I45" i="4" s="1"/>
  <c r="K45" i="4" s="1"/>
  <c r="L45" i="4" s="1"/>
  <c r="G44" i="4"/>
  <c r="I44" i="4" s="1"/>
  <c r="K44" i="4" s="1"/>
  <c r="L44" i="4" s="1"/>
  <c r="G43" i="4"/>
  <c r="I43" i="4" s="1"/>
  <c r="K43" i="4" s="1"/>
  <c r="L43" i="4" s="1"/>
  <c r="G42" i="4"/>
  <c r="I42" i="4" s="1"/>
  <c r="K42" i="4" s="1"/>
  <c r="L42" i="4" s="1"/>
  <c r="G41" i="4"/>
  <c r="I41" i="4" s="1"/>
  <c r="K41" i="4" s="1"/>
  <c r="L41" i="4" s="1"/>
  <c r="G40" i="4"/>
  <c r="I40" i="4" s="1"/>
  <c r="K40" i="4" s="1"/>
  <c r="L40" i="4" s="1"/>
  <c r="G39" i="4"/>
  <c r="I39" i="4" s="1"/>
  <c r="K39" i="4" s="1"/>
  <c r="L39" i="4" s="1"/>
  <c r="G38" i="4"/>
  <c r="I38" i="4" s="1"/>
  <c r="K38" i="4" s="1"/>
  <c r="L38" i="4" s="1"/>
  <c r="G37" i="4"/>
  <c r="I37" i="4" s="1"/>
  <c r="K37" i="4" s="1"/>
  <c r="L37" i="4" s="1"/>
  <c r="G36" i="4"/>
  <c r="I36" i="4" s="1"/>
  <c r="K36" i="4" s="1"/>
  <c r="L36" i="4" s="1"/>
  <c r="G35" i="4"/>
  <c r="I35" i="4" s="1"/>
  <c r="K35" i="4" s="1"/>
  <c r="L35" i="4" s="1"/>
  <c r="G34" i="4"/>
  <c r="I34" i="4" s="1"/>
  <c r="K34" i="4" s="1"/>
  <c r="L34" i="4" s="1"/>
  <c r="G33" i="4"/>
  <c r="I33" i="4" s="1"/>
  <c r="K33" i="4" s="1"/>
  <c r="L33" i="4" s="1"/>
  <c r="G32" i="4"/>
  <c r="I32" i="4" s="1"/>
  <c r="K32" i="4" s="1"/>
  <c r="L32" i="4" s="1"/>
  <c r="G31" i="4"/>
  <c r="I31" i="4" s="1"/>
  <c r="K31" i="4" s="1"/>
  <c r="L31" i="4" s="1"/>
  <c r="G30" i="4"/>
  <c r="I30" i="4" s="1"/>
  <c r="K30" i="4" s="1"/>
  <c r="L30" i="4" s="1"/>
  <c r="G29" i="4"/>
  <c r="I29" i="4" s="1"/>
  <c r="K29" i="4" s="1"/>
  <c r="L29" i="4" s="1"/>
  <c r="G28" i="4"/>
  <c r="I28" i="4" s="1"/>
  <c r="K28" i="4" s="1"/>
  <c r="L28" i="4" s="1"/>
  <c r="G27" i="4"/>
  <c r="I27" i="4" s="1"/>
  <c r="K27" i="4" s="1"/>
  <c r="L27" i="4" s="1"/>
  <c r="G26" i="4"/>
  <c r="I26" i="4" s="1"/>
  <c r="K26" i="4" s="1"/>
  <c r="L26" i="4" s="1"/>
  <c r="G25" i="4"/>
  <c r="I25" i="4" s="1"/>
  <c r="K25" i="4" s="1"/>
  <c r="L25" i="4" s="1"/>
  <c r="G24" i="4"/>
  <c r="I24" i="4" s="1"/>
  <c r="K24" i="4" s="1"/>
  <c r="L24" i="4" s="1"/>
  <c r="G23" i="4"/>
  <c r="I23" i="4" s="1"/>
  <c r="K23" i="4" s="1"/>
  <c r="L23" i="4" s="1"/>
  <c r="G22" i="4"/>
  <c r="I22" i="4" s="1"/>
  <c r="G21" i="4"/>
  <c r="I21" i="4" s="1"/>
  <c r="K21" i="4" s="1"/>
  <c r="L21" i="4" s="1"/>
  <c r="G20" i="4"/>
  <c r="I20" i="4" s="1"/>
  <c r="K20" i="4" s="1"/>
  <c r="L20" i="4" s="1"/>
  <c r="G19" i="4"/>
  <c r="I19" i="4" s="1"/>
  <c r="K19" i="4" s="1"/>
  <c r="L19" i="4" s="1"/>
  <c r="G18" i="4"/>
  <c r="I18" i="4" s="1"/>
  <c r="K18" i="4" s="1"/>
  <c r="L18" i="4" s="1"/>
  <c r="G17" i="4"/>
  <c r="I17" i="4" s="1"/>
  <c r="K17" i="4" s="1"/>
  <c r="L17" i="4" s="1"/>
  <c r="G82" i="3"/>
  <c r="I82" i="3" s="1"/>
  <c r="K82" i="3" s="1"/>
  <c r="L82" i="3" s="1"/>
  <c r="G81" i="3"/>
  <c r="I81" i="3" s="1"/>
  <c r="K81" i="3" s="1"/>
  <c r="L81" i="3" s="1"/>
  <c r="G80" i="3"/>
  <c r="I80" i="3" s="1"/>
  <c r="K80" i="3" s="1"/>
  <c r="L80" i="3" s="1"/>
  <c r="G79" i="3"/>
  <c r="I79" i="3" s="1"/>
  <c r="K79" i="3" s="1"/>
  <c r="L79" i="3" s="1"/>
  <c r="G78" i="3"/>
  <c r="I78" i="3" s="1"/>
  <c r="K78" i="3" s="1"/>
  <c r="L78" i="3" s="1"/>
  <c r="G77" i="3"/>
  <c r="I77" i="3" s="1"/>
  <c r="K77" i="3" s="1"/>
  <c r="L77" i="3" s="1"/>
  <c r="G76" i="3"/>
  <c r="I76" i="3" s="1"/>
  <c r="K76" i="3" s="1"/>
  <c r="L76" i="3" s="1"/>
  <c r="G75" i="3"/>
  <c r="I75" i="3" s="1"/>
  <c r="K75" i="3" s="1"/>
  <c r="L75" i="3" s="1"/>
  <c r="G74" i="3"/>
  <c r="I74" i="3" s="1"/>
  <c r="K74" i="3" s="1"/>
  <c r="L74" i="3" s="1"/>
  <c r="G73" i="3"/>
  <c r="I73" i="3" s="1"/>
  <c r="K73" i="3" s="1"/>
  <c r="L73" i="3" s="1"/>
  <c r="G72" i="3"/>
  <c r="I72" i="3" s="1"/>
  <c r="K72" i="3" s="1"/>
  <c r="L72" i="3" s="1"/>
  <c r="G71" i="3"/>
  <c r="I71" i="3" s="1"/>
  <c r="K71" i="3" s="1"/>
  <c r="L71" i="3" s="1"/>
  <c r="G70" i="3"/>
  <c r="I70" i="3" s="1"/>
  <c r="K70" i="3" s="1"/>
  <c r="L70" i="3" s="1"/>
  <c r="G69" i="3"/>
  <c r="I69" i="3" s="1"/>
  <c r="K69" i="3" s="1"/>
  <c r="L69" i="3" s="1"/>
  <c r="G68" i="3"/>
  <c r="I68" i="3" s="1"/>
  <c r="K68" i="3" s="1"/>
  <c r="L68" i="3" s="1"/>
  <c r="G67" i="3"/>
  <c r="I67" i="3" s="1"/>
  <c r="K67" i="3" s="1"/>
  <c r="L67" i="3" s="1"/>
  <c r="G66" i="3"/>
  <c r="I66" i="3" s="1"/>
  <c r="K66" i="3" s="1"/>
  <c r="L66" i="3" s="1"/>
  <c r="G65" i="3"/>
  <c r="I65" i="3" s="1"/>
  <c r="K65" i="3" s="1"/>
  <c r="L65" i="3" s="1"/>
  <c r="G64" i="3"/>
  <c r="I64" i="3" s="1"/>
  <c r="K64" i="3" s="1"/>
  <c r="L64" i="3" s="1"/>
  <c r="G63" i="3"/>
  <c r="I63" i="3" s="1"/>
  <c r="K63" i="3" s="1"/>
  <c r="L63" i="3" s="1"/>
  <c r="G62" i="3"/>
  <c r="I62" i="3" s="1"/>
  <c r="K62" i="3" s="1"/>
  <c r="L62" i="3" s="1"/>
  <c r="G61" i="3"/>
  <c r="I61" i="3" s="1"/>
  <c r="K61" i="3" s="1"/>
  <c r="L61" i="3" s="1"/>
  <c r="G60" i="3"/>
  <c r="I60" i="3" s="1"/>
  <c r="K60" i="3" s="1"/>
  <c r="L60" i="3" s="1"/>
  <c r="G59" i="3"/>
  <c r="I59" i="3" s="1"/>
  <c r="K59" i="3" s="1"/>
  <c r="L59" i="3" s="1"/>
  <c r="G58" i="3"/>
  <c r="I58" i="3" s="1"/>
  <c r="G57" i="3"/>
  <c r="I57" i="3" s="1"/>
  <c r="K57" i="3" s="1"/>
  <c r="L57" i="3" s="1"/>
  <c r="G56" i="3"/>
  <c r="I56" i="3" s="1"/>
  <c r="K56" i="3" s="1"/>
  <c r="L56" i="3" s="1"/>
  <c r="G55" i="3"/>
  <c r="I55" i="3" s="1"/>
  <c r="K55" i="3" s="1"/>
  <c r="L55" i="3" s="1"/>
  <c r="G54" i="3"/>
  <c r="I54" i="3" s="1"/>
  <c r="K54" i="3" s="1"/>
  <c r="L54" i="3" s="1"/>
  <c r="G53" i="3"/>
  <c r="I53" i="3" s="1"/>
  <c r="K53" i="3" s="1"/>
  <c r="L53" i="3" s="1"/>
  <c r="G52" i="3"/>
  <c r="I52" i="3" s="1"/>
  <c r="K52" i="3" s="1"/>
  <c r="L52" i="3" s="1"/>
  <c r="G51" i="3"/>
  <c r="I51" i="3" s="1"/>
  <c r="K51" i="3" s="1"/>
  <c r="L51" i="3" s="1"/>
  <c r="G50" i="3"/>
  <c r="I50" i="3" s="1"/>
  <c r="K50" i="3" s="1"/>
  <c r="L50" i="3" s="1"/>
  <c r="G49" i="3"/>
  <c r="I49" i="3" s="1"/>
  <c r="K49" i="3" s="1"/>
  <c r="L49" i="3" s="1"/>
  <c r="G48" i="3"/>
  <c r="I48" i="3" s="1"/>
  <c r="K48" i="3" s="1"/>
  <c r="L48" i="3" s="1"/>
  <c r="G47" i="3"/>
  <c r="I47" i="3" s="1"/>
  <c r="K47" i="3" s="1"/>
  <c r="L47" i="3" s="1"/>
  <c r="G46" i="3"/>
  <c r="I46" i="3" s="1"/>
  <c r="K46" i="3" s="1"/>
  <c r="L46" i="3" s="1"/>
  <c r="G45" i="3"/>
  <c r="I45" i="3" s="1"/>
  <c r="K45" i="3" s="1"/>
  <c r="L45" i="3" s="1"/>
  <c r="G44" i="3"/>
  <c r="I44" i="3" s="1"/>
  <c r="K44" i="3" s="1"/>
  <c r="L44" i="3" s="1"/>
  <c r="G43" i="3"/>
  <c r="I43" i="3" s="1"/>
  <c r="K43" i="3" s="1"/>
  <c r="L43" i="3" s="1"/>
  <c r="G42" i="3"/>
  <c r="I42" i="3" s="1"/>
  <c r="K42" i="3" s="1"/>
  <c r="L42" i="3" s="1"/>
  <c r="G41" i="3"/>
  <c r="I41" i="3" s="1"/>
  <c r="K41" i="3" s="1"/>
  <c r="L41" i="3" s="1"/>
  <c r="G40" i="3"/>
  <c r="I40" i="3" s="1"/>
  <c r="K40" i="3" s="1"/>
  <c r="L40" i="3" s="1"/>
  <c r="G39" i="3"/>
  <c r="I39" i="3" s="1"/>
  <c r="K39" i="3" s="1"/>
  <c r="L39" i="3" s="1"/>
  <c r="G38" i="3"/>
  <c r="I38" i="3" s="1"/>
  <c r="K38" i="3" s="1"/>
  <c r="L38" i="3" s="1"/>
  <c r="G37" i="3"/>
  <c r="I37" i="3" s="1"/>
  <c r="K37" i="3" s="1"/>
  <c r="L37" i="3" s="1"/>
  <c r="G36" i="3"/>
  <c r="I36" i="3" s="1"/>
  <c r="G35" i="3"/>
  <c r="I35" i="3" s="1"/>
  <c r="K35" i="3" s="1"/>
  <c r="L35" i="3" s="1"/>
  <c r="G34" i="3"/>
  <c r="I34" i="3" s="1"/>
  <c r="K34" i="3" s="1"/>
  <c r="L34" i="3" s="1"/>
  <c r="G33" i="3"/>
  <c r="I33" i="3" s="1"/>
  <c r="K33" i="3" s="1"/>
  <c r="L33" i="3" s="1"/>
  <c r="G32" i="3"/>
  <c r="I32" i="3" s="1"/>
  <c r="K32" i="3" s="1"/>
  <c r="L32" i="3" s="1"/>
  <c r="G31" i="3"/>
  <c r="I31" i="3" s="1"/>
  <c r="K31" i="3" s="1"/>
  <c r="L31" i="3" s="1"/>
  <c r="G30" i="3"/>
  <c r="I30" i="3" s="1"/>
  <c r="K30" i="3" s="1"/>
  <c r="L30" i="3" s="1"/>
  <c r="G29" i="3"/>
  <c r="I29" i="3" s="1"/>
  <c r="K29" i="3" s="1"/>
  <c r="L29" i="3" s="1"/>
  <c r="G28" i="3"/>
  <c r="I28" i="3" s="1"/>
  <c r="K28" i="3" s="1"/>
  <c r="L28" i="3" s="1"/>
  <c r="G27" i="3"/>
  <c r="I27" i="3" s="1"/>
  <c r="K27" i="3" s="1"/>
  <c r="L27" i="3" s="1"/>
  <c r="G26" i="3"/>
  <c r="I26" i="3" s="1"/>
  <c r="K26" i="3" s="1"/>
  <c r="L26" i="3" s="1"/>
  <c r="G25" i="3"/>
  <c r="I25" i="3" s="1"/>
  <c r="K25" i="3" s="1"/>
  <c r="L25" i="3" s="1"/>
  <c r="G24" i="3"/>
  <c r="I24" i="3" s="1"/>
  <c r="K24" i="3" s="1"/>
  <c r="L24" i="3" s="1"/>
  <c r="G23" i="3"/>
  <c r="I23" i="3" s="1"/>
  <c r="K23" i="3" s="1"/>
  <c r="L23" i="3" s="1"/>
  <c r="G22" i="3"/>
  <c r="I22" i="3" s="1"/>
  <c r="K22" i="3" s="1"/>
  <c r="L22" i="3" s="1"/>
  <c r="G21" i="3"/>
  <c r="I21" i="3" s="1"/>
  <c r="K21" i="3" s="1"/>
  <c r="L21" i="3" s="1"/>
  <c r="G20" i="3"/>
  <c r="I20" i="3" s="1"/>
  <c r="K20" i="3" s="1"/>
  <c r="L20" i="3" s="1"/>
  <c r="G19" i="3"/>
  <c r="I19" i="3" s="1"/>
  <c r="K19" i="3" s="1"/>
  <c r="L19" i="3" s="1"/>
  <c r="G18" i="3"/>
  <c r="I18" i="3" s="1"/>
  <c r="K18" i="3" s="1"/>
  <c r="L18" i="3" s="1"/>
  <c r="G17" i="3"/>
  <c r="I17" i="3" s="1"/>
  <c r="K17" i="3" s="1"/>
  <c r="L17" i="3" s="1"/>
  <c r="G16" i="3"/>
  <c r="I16" i="3" s="1"/>
  <c r="K16" i="3" s="1"/>
  <c r="L16" i="3" s="1"/>
  <c r="G79" i="2"/>
  <c r="I79" i="2" s="1"/>
  <c r="K79" i="2" s="1"/>
  <c r="G78" i="2"/>
  <c r="I78" i="2" s="1"/>
  <c r="K78" i="2" s="1"/>
  <c r="G77" i="2"/>
  <c r="I77" i="2" s="1"/>
  <c r="K77" i="2" s="1"/>
  <c r="G76" i="2"/>
  <c r="I76" i="2" s="1"/>
  <c r="K76" i="2" s="1"/>
  <c r="G75" i="2"/>
  <c r="I75" i="2" s="1"/>
  <c r="K75" i="2" s="1"/>
  <c r="G74" i="2"/>
  <c r="I74" i="2" s="1"/>
  <c r="K74" i="2" s="1"/>
  <c r="G73" i="2"/>
  <c r="I73" i="2" s="1"/>
  <c r="K73" i="2" s="1"/>
  <c r="G72" i="2"/>
  <c r="I72" i="2" s="1"/>
  <c r="K72" i="2" s="1"/>
  <c r="G71" i="2"/>
  <c r="I71" i="2" s="1"/>
  <c r="K71" i="2" s="1"/>
  <c r="G70" i="2"/>
  <c r="I70" i="2" s="1"/>
  <c r="K70" i="2" s="1"/>
  <c r="G69" i="2"/>
  <c r="I69" i="2" s="1"/>
  <c r="K69" i="2" s="1"/>
  <c r="G68" i="2"/>
  <c r="I68" i="2" s="1"/>
  <c r="K68" i="2" s="1"/>
  <c r="G67" i="2"/>
  <c r="I67" i="2" s="1"/>
  <c r="G66" i="2"/>
  <c r="I66" i="2" s="1"/>
  <c r="K66" i="2" s="1"/>
  <c r="G65" i="2"/>
  <c r="I65" i="2" s="1"/>
  <c r="K65" i="2" s="1"/>
  <c r="G64" i="2"/>
  <c r="I64" i="2" s="1"/>
  <c r="K64" i="2" s="1"/>
  <c r="G63" i="2"/>
  <c r="I63" i="2" s="1"/>
  <c r="K63" i="2" s="1"/>
  <c r="G62" i="2"/>
  <c r="I62" i="2" s="1"/>
  <c r="K62" i="2" s="1"/>
  <c r="G61" i="2"/>
  <c r="I61" i="2" s="1"/>
  <c r="K61" i="2" s="1"/>
  <c r="G60" i="2"/>
  <c r="I60" i="2" s="1"/>
  <c r="K60" i="2" s="1"/>
  <c r="G59" i="2"/>
  <c r="I59" i="2" s="1"/>
  <c r="K59" i="2" s="1"/>
  <c r="G58" i="2"/>
  <c r="I58" i="2" s="1"/>
  <c r="K58" i="2" s="1"/>
  <c r="G57" i="2"/>
  <c r="I57" i="2" s="1"/>
  <c r="K57" i="2" s="1"/>
  <c r="G56" i="2"/>
  <c r="I56" i="2" s="1"/>
  <c r="K56" i="2" s="1"/>
  <c r="G55" i="2"/>
  <c r="I55" i="2" s="1"/>
  <c r="K55" i="2" s="1"/>
  <c r="G54" i="2"/>
  <c r="I54" i="2" s="1"/>
  <c r="K54" i="2" s="1"/>
  <c r="G53" i="2"/>
  <c r="I53" i="2" s="1"/>
  <c r="K53" i="2" s="1"/>
  <c r="G52" i="2"/>
  <c r="I52" i="2" s="1"/>
  <c r="K52" i="2" s="1"/>
  <c r="G51" i="2"/>
  <c r="I51" i="2" s="1"/>
  <c r="K51" i="2" s="1"/>
  <c r="G50" i="2"/>
  <c r="I50" i="2" s="1"/>
  <c r="K50" i="2" s="1"/>
  <c r="G49" i="2"/>
  <c r="I49" i="2" s="1"/>
  <c r="K49" i="2" s="1"/>
  <c r="G48" i="2"/>
  <c r="I48" i="2" s="1"/>
  <c r="K48" i="2" s="1"/>
  <c r="G47" i="2"/>
  <c r="I47" i="2" s="1"/>
  <c r="K47" i="2" s="1"/>
  <c r="G46" i="2"/>
  <c r="I46" i="2" s="1"/>
  <c r="K46" i="2" s="1"/>
  <c r="G45" i="2"/>
  <c r="I45" i="2" s="1"/>
  <c r="K45" i="2" s="1"/>
  <c r="G44" i="2"/>
  <c r="I44" i="2" s="1"/>
  <c r="K44" i="2" s="1"/>
  <c r="G43" i="2"/>
  <c r="I43" i="2" s="1"/>
  <c r="K43" i="2" s="1"/>
  <c r="G42" i="2"/>
  <c r="I42" i="2" s="1"/>
  <c r="K42" i="2" s="1"/>
  <c r="G41" i="2"/>
  <c r="I41" i="2" s="1"/>
  <c r="K41" i="2" s="1"/>
  <c r="G40" i="2"/>
  <c r="I40" i="2" s="1"/>
  <c r="K40" i="2" s="1"/>
  <c r="G39" i="2"/>
  <c r="I39" i="2" s="1"/>
  <c r="K39" i="2" s="1"/>
  <c r="G38" i="2"/>
  <c r="I38" i="2" s="1"/>
  <c r="K38" i="2" s="1"/>
  <c r="G37" i="2"/>
  <c r="I37" i="2" s="1"/>
  <c r="K37" i="2" s="1"/>
  <c r="G36" i="2"/>
  <c r="I36" i="2" s="1"/>
  <c r="K36" i="2" s="1"/>
  <c r="G35" i="2"/>
  <c r="I35" i="2" s="1"/>
  <c r="K35" i="2" s="1"/>
  <c r="G34" i="2"/>
  <c r="I34" i="2" s="1"/>
  <c r="K34" i="2" s="1"/>
  <c r="G33" i="2"/>
  <c r="I33" i="2" s="1"/>
  <c r="G32" i="2"/>
  <c r="I32" i="2" s="1"/>
  <c r="K32" i="2" s="1"/>
  <c r="G31" i="2"/>
  <c r="I31" i="2" s="1"/>
  <c r="K31" i="2" s="1"/>
  <c r="G30" i="2"/>
  <c r="I30" i="2" s="1"/>
  <c r="K30" i="2" s="1"/>
  <c r="G29" i="2"/>
  <c r="I29" i="2" s="1"/>
  <c r="K29" i="2" s="1"/>
  <c r="G28" i="2"/>
  <c r="I28" i="2" s="1"/>
  <c r="K28" i="2" s="1"/>
  <c r="G27" i="2"/>
  <c r="I27" i="2" s="1"/>
  <c r="K27" i="2" s="1"/>
  <c r="G26" i="2"/>
  <c r="I26" i="2" s="1"/>
  <c r="K26" i="2" s="1"/>
  <c r="G25" i="2"/>
  <c r="I25" i="2" s="1"/>
  <c r="K25" i="2" s="1"/>
  <c r="G24" i="2"/>
  <c r="I24" i="2" s="1"/>
  <c r="K24" i="2" s="1"/>
  <c r="G23" i="2"/>
  <c r="I23" i="2" s="1"/>
  <c r="K23" i="2" s="1"/>
  <c r="G22" i="2"/>
  <c r="I22" i="2" s="1"/>
  <c r="K22" i="2" s="1"/>
  <c r="G21" i="2"/>
  <c r="I21" i="2" s="1"/>
  <c r="K21" i="2" s="1"/>
  <c r="G20" i="2"/>
  <c r="I20" i="2" s="1"/>
  <c r="K20" i="2" s="1"/>
  <c r="G19" i="2"/>
  <c r="I19" i="2" s="1"/>
  <c r="K19" i="2" s="1"/>
  <c r="G18" i="2"/>
  <c r="I18" i="2" s="1"/>
  <c r="G17" i="2"/>
  <c r="I17" i="2" s="1"/>
  <c r="K17" i="2" s="1"/>
  <c r="G16" i="2"/>
  <c r="I16" i="2" s="1"/>
  <c r="K16" i="2" s="1"/>
  <c r="G74" i="4"/>
  <c r="I74" i="4" s="1"/>
  <c r="K74" i="4" s="1"/>
  <c r="L74" i="4" s="1"/>
  <c r="G16" i="1"/>
  <c r="I1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K48" i="1" s="1"/>
  <c r="L48" i="1" s="1"/>
  <c r="G47" i="1"/>
  <c r="I47" i="1" s="1"/>
  <c r="G46" i="1"/>
  <c r="I46" i="1" s="1"/>
  <c r="G45" i="1"/>
  <c r="I45" i="1" s="1"/>
  <c r="G44" i="1"/>
  <c r="G43" i="1"/>
  <c r="I43" i="1" s="1"/>
  <c r="G42" i="1"/>
  <c r="I4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D93" i="3" l="1"/>
  <c r="E93" i="3"/>
  <c r="G93" i="3"/>
  <c r="F93" i="3"/>
  <c r="I44" i="1"/>
  <c r="K44" i="1" s="1"/>
  <c r="L44" i="1" s="1"/>
  <c r="K21" i="1"/>
  <c r="L21" i="1" s="1"/>
  <c r="K25" i="1"/>
  <c r="L25" i="1" s="1"/>
  <c r="K29" i="1"/>
  <c r="L29" i="1" s="1"/>
  <c r="K33" i="1"/>
  <c r="L33" i="1" s="1"/>
  <c r="K37" i="1"/>
  <c r="L37" i="1" s="1"/>
  <c r="K41" i="1"/>
  <c r="L41" i="1" s="1"/>
  <c r="K45" i="1"/>
  <c r="L45" i="1" s="1"/>
  <c r="K49" i="1"/>
  <c r="L49" i="1" s="1"/>
  <c r="K53" i="1"/>
  <c r="L53" i="1" s="1"/>
  <c r="K57" i="1"/>
  <c r="L57" i="1" s="1"/>
  <c r="K61" i="1"/>
  <c r="L61" i="1" s="1"/>
  <c r="K65" i="1"/>
  <c r="L65" i="1" s="1"/>
  <c r="K69" i="1"/>
  <c r="L69" i="1" s="1"/>
  <c r="K73" i="1"/>
  <c r="L73" i="1" s="1"/>
  <c r="K18" i="1"/>
  <c r="L18" i="1" s="1"/>
  <c r="K26" i="1"/>
  <c r="L26" i="1" s="1"/>
  <c r="K30" i="1"/>
  <c r="L30" i="1" s="1"/>
  <c r="K34" i="1"/>
  <c r="L34" i="1" s="1"/>
  <c r="K38" i="1"/>
  <c r="L38" i="1" s="1"/>
  <c r="K42" i="1"/>
  <c r="L42" i="1" s="1"/>
  <c r="K46" i="1"/>
  <c r="L46" i="1" s="1"/>
  <c r="K50" i="1"/>
  <c r="L50" i="1" s="1"/>
  <c r="K54" i="1"/>
  <c r="L54" i="1" s="1"/>
  <c r="K58" i="1"/>
  <c r="L58" i="1" s="1"/>
  <c r="K62" i="1"/>
  <c r="L62" i="1" s="1"/>
  <c r="K66" i="1"/>
  <c r="L66" i="1" s="1"/>
  <c r="K70" i="1"/>
  <c r="L70" i="1" s="1"/>
  <c r="K74" i="1"/>
  <c r="L74" i="1" s="1"/>
  <c r="K19" i="1"/>
  <c r="L19" i="1" s="1"/>
  <c r="K23" i="1"/>
  <c r="L23" i="1" s="1"/>
  <c r="K27" i="1"/>
  <c r="L27" i="1" s="1"/>
  <c r="K31" i="1"/>
  <c r="L31" i="1" s="1"/>
  <c r="K35" i="1"/>
  <c r="L35" i="1" s="1"/>
  <c r="K39" i="1"/>
  <c r="L39" i="1" s="1"/>
  <c r="K43" i="1"/>
  <c r="L43" i="1" s="1"/>
  <c r="K47" i="1"/>
  <c r="L47" i="1" s="1"/>
  <c r="K51" i="1"/>
  <c r="L51" i="1" s="1"/>
  <c r="K55" i="1"/>
  <c r="L55" i="1" s="1"/>
  <c r="K59" i="1"/>
  <c r="L59" i="1" s="1"/>
  <c r="K63" i="1"/>
  <c r="L63" i="1" s="1"/>
  <c r="K67" i="1"/>
  <c r="L67" i="1" s="1"/>
  <c r="K71" i="1"/>
  <c r="L71" i="1" s="1"/>
  <c r="K75" i="1"/>
  <c r="L75" i="1" s="1"/>
  <c r="K20" i="1"/>
  <c r="L20" i="1" s="1"/>
  <c r="K24" i="1"/>
  <c r="L24" i="1" s="1"/>
  <c r="K28" i="1"/>
  <c r="L28" i="1" s="1"/>
  <c r="K32" i="1"/>
  <c r="L32" i="1" s="1"/>
  <c r="K36" i="1"/>
  <c r="L36" i="1" s="1"/>
  <c r="K40" i="1"/>
  <c r="L40" i="1" s="1"/>
  <c r="K52" i="1"/>
  <c r="L52" i="1" s="1"/>
  <c r="K56" i="1"/>
  <c r="L56" i="1" s="1"/>
  <c r="K60" i="1"/>
  <c r="L60" i="1" s="1"/>
  <c r="K64" i="1"/>
  <c r="L64" i="1" s="1"/>
  <c r="K68" i="1"/>
  <c r="L68" i="1" s="1"/>
  <c r="K72" i="1"/>
  <c r="L72" i="1" s="1"/>
  <c r="K16" i="1"/>
  <c r="L16" i="1" s="1"/>
  <c r="K17" i="1"/>
  <c r="L17" i="1" s="1"/>
  <c r="I16" i="4"/>
  <c r="K16" i="4" s="1"/>
  <c r="L16" i="4" s="1"/>
  <c r="E85" i="4" s="1"/>
  <c r="G85" i="4" l="1"/>
  <c r="D85" i="4"/>
  <c r="F85" i="4"/>
  <c r="D86" i="1"/>
  <c r="E86" i="1"/>
  <c r="G86" i="1"/>
  <c r="F86" i="1"/>
</calcChain>
</file>

<file path=xl/sharedStrings.xml><?xml version="1.0" encoding="utf-8"?>
<sst xmlns="http://schemas.openxmlformats.org/spreadsheetml/2006/main" count="685" uniqueCount="540">
  <si>
    <t>Department: All</t>
  </si>
  <si>
    <t>No</t>
  </si>
  <si>
    <t>Student Number</t>
  </si>
  <si>
    <t>Student Name</t>
  </si>
  <si>
    <t>Final Ex./40</t>
  </si>
  <si>
    <t>Score/20</t>
  </si>
  <si>
    <t>MAKE UP EXAM</t>
  </si>
  <si>
    <t>Final/40</t>
  </si>
  <si>
    <t>Faculty: Information Technology</t>
  </si>
  <si>
    <t>Student Names</t>
  </si>
  <si>
    <t>StudentID</t>
  </si>
  <si>
    <t>GRADES VALIDATION</t>
  </si>
  <si>
    <t>Number of students
who missed</t>
  </si>
  <si>
    <t>Students 
not
allowed
to write exam</t>
  </si>
  <si>
    <t>Total
number
of 
students</t>
  </si>
  <si>
    <t>Number
of
 Specific 
cases</t>
  </si>
  <si>
    <t>14&lt;15.99</t>
  </si>
  <si>
    <t>12&lt;13.99</t>
  </si>
  <si>
    <t>10&lt;11.99</t>
  </si>
  <si>
    <t>&lt;10</t>
  </si>
  <si>
    <t>Mid-Sem
.exam</t>
  </si>
  <si>
    <t>Final
exam</t>
  </si>
  <si>
    <t>Teacher's Name and Signature</t>
  </si>
  <si>
    <t>Date</t>
  </si>
  <si>
    <t>Faculty approval</t>
  </si>
  <si>
    <t>CLASS MARKS</t>
  </si>
  <si>
    <t>Semester: One</t>
  </si>
  <si>
    <t xml:space="preserve">Day and Time: </t>
  </si>
  <si>
    <t xml:space="preserve">Room: </t>
  </si>
  <si>
    <t>Teacher:Dr.GASHEMA Gaspard</t>
  </si>
  <si>
    <t>25140</t>
  </si>
  <si>
    <t>26464</t>
  </si>
  <si>
    <t>26748</t>
  </si>
  <si>
    <t>26858</t>
  </si>
  <si>
    <t>27045</t>
  </si>
  <si>
    <t>27088</t>
  </si>
  <si>
    <t>27103</t>
  </si>
  <si>
    <t>27121</t>
  </si>
  <si>
    <t>27189</t>
  </si>
  <si>
    <t>27282</t>
  </si>
  <si>
    <t>27288</t>
  </si>
  <si>
    <t>27290</t>
  </si>
  <si>
    <t>27492</t>
  </si>
  <si>
    <t>27632</t>
  </si>
  <si>
    <t>27640</t>
  </si>
  <si>
    <t>27668</t>
  </si>
  <si>
    <t>27670</t>
  </si>
  <si>
    <t>27673</t>
  </si>
  <si>
    <t>27677</t>
  </si>
  <si>
    <t>27716</t>
  </si>
  <si>
    <t>27769</t>
  </si>
  <si>
    <t>27786</t>
  </si>
  <si>
    <t>27796</t>
  </si>
  <si>
    <t>27798</t>
  </si>
  <si>
    <t>27806</t>
  </si>
  <si>
    <t>27856</t>
  </si>
  <si>
    <t>27857</t>
  </si>
  <si>
    <t>27875</t>
  </si>
  <si>
    <t>27893</t>
  </si>
  <si>
    <t>27895</t>
  </si>
  <si>
    <t>27896</t>
  </si>
  <si>
    <t>27928</t>
  </si>
  <si>
    <t>27959</t>
  </si>
  <si>
    <t>27973</t>
  </si>
  <si>
    <t>28049</t>
  </si>
  <si>
    <t>28068</t>
  </si>
  <si>
    <t>28217</t>
  </si>
  <si>
    <t>28247</t>
  </si>
  <si>
    <t>28291</t>
  </si>
  <si>
    <t>28293</t>
  </si>
  <si>
    <t>28301</t>
  </si>
  <si>
    <t>28321</t>
  </si>
  <si>
    <t>28324</t>
  </si>
  <si>
    <t>28327</t>
  </si>
  <si>
    <t>28372</t>
  </si>
  <si>
    <t>28385</t>
  </si>
  <si>
    <t>28418</t>
  </si>
  <si>
    <t>28421</t>
  </si>
  <si>
    <t>28426</t>
  </si>
  <si>
    <t>28450</t>
  </si>
  <si>
    <t>28459</t>
  </si>
  <si>
    <t>28471</t>
  </si>
  <si>
    <t>28750</t>
  </si>
  <si>
    <t>28753</t>
  </si>
  <si>
    <t>28820</t>
  </si>
  <si>
    <t>28859</t>
  </si>
  <si>
    <t>29019</t>
  </si>
  <si>
    <t>29056</t>
  </si>
  <si>
    <t>29197</t>
  </si>
  <si>
    <t>Nkuranga Olivier</t>
  </si>
  <si>
    <t xml:space="preserve">Benineza Moise </t>
  </si>
  <si>
    <t>Reteno Tounkara Mady Baba</t>
  </si>
  <si>
    <t>Nkubiri Rugero Tresor</t>
  </si>
  <si>
    <t>Gatesi Deborah</t>
  </si>
  <si>
    <t>Mushimire Victor</t>
  </si>
  <si>
    <t>Igikwiye Bayingana Yvan</t>
  </si>
  <si>
    <t>Isimbi Mushimire Iris</t>
  </si>
  <si>
    <t>Bahati Arsene</t>
  </si>
  <si>
    <t>Kwizera Bless</t>
  </si>
  <si>
    <t>Ndayishimiye Moise</t>
  </si>
  <si>
    <t>Rutaganda Samuel</t>
  </si>
  <si>
    <t>Cyizere Siborurema Elie</t>
  </si>
  <si>
    <t>Irakoze Tessy Mick</t>
  </si>
  <si>
    <t>Rurebwayire ampoze Ariella</t>
  </si>
  <si>
    <t>Nshuti Mugabo Arsene</t>
  </si>
  <si>
    <t>Ngabonziza Kim Gakuba</t>
  </si>
  <si>
    <t>Ucyeye Gabriella</t>
  </si>
  <si>
    <t>Singiza Gihozo Macrine</t>
  </si>
  <si>
    <t>Cito Douce Bisusa</t>
  </si>
  <si>
    <t>Umuhoza Chanisse</t>
  </si>
  <si>
    <t>Kambogo Mugabo Bonheur</t>
  </si>
  <si>
    <t>Niyonsaba Christine</t>
  </si>
  <si>
    <t>Ntihemuka Benjamin</t>
  </si>
  <si>
    <t>Mutarutwa Immaculate</t>
  </si>
  <si>
    <t>Manzi Ephrem</t>
  </si>
  <si>
    <t>Mbishibishi Flavien</t>
  </si>
  <si>
    <t>Shimwa Sekuture Nicole</t>
  </si>
  <si>
    <t>Uwakeza Kamikazi Merveille</t>
  </si>
  <si>
    <t>Igiraneza Diane</t>
  </si>
  <si>
    <t xml:space="preserve">Imani Nzeyimana David </t>
  </si>
  <si>
    <t>Bikorimana Eric</t>
  </si>
  <si>
    <t>Nankunda Winny</t>
  </si>
  <si>
    <t>Teta Kevine</t>
  </si>
  <si>
    <t>Havugimana Asiimwe Victoria</t>
  </si>
  <si>
    <t>Rutikanga Issac</t>
  </si>
  <si>
    <t>Murisa Ivan</t>
  </si>
  <si>
    <t>Shema Constant</t>
  </si>
  <si>
    <t>Azabe Benine</t>
  </si>
  <si>
    <t>Rugema Bill gates</t>
  </si>
  <si>
    <t xml:space="preserve">Sesonga Raphael </t>
  </si>
  <si>
    <t>Sebatware Bonny</t>
  </si>
  <si>
    <t>Hirwa Joshua</t>
  </si>
  <si>
    <t>Iradukunda Marie Sandrine</t>
  </si>
  <si>
    <t>Karengera Fred</t>
  </si>
  <si>
    <t xml:space="preserve">Higiro Iradukunda David </t>
  </si>
  <si>
    <t>Uwingeli Romeo</t>
  </si>
  <si>
    <t>Utuje Ange Fidele</t>
  </si>
  <si>
    <t>Kwizera Prince 1</t>
  </si>
  <si>
    <t>Gatete Odry</t>
  </si>
  <si>
    <t>Kamariza Diane</t>
  </si>
  <si>
    <t>Keza Ruzindaza Ornella</t>
  </si>
  <si>
    <t>Rwabuneza Mark</t>
  </si>
  <si>
    <t>Uwase Lisa Ornella</t>
  </si>
  <si>
    <t>Uganje Lorie Altessa</t>
  </si>
  <si>
    <t>Mugisha Christian Adore</t>
  </si>
  <si>
    <t xml:space="preserve">Hirwa Kayihura Kevin </t>
  </si>
  <si>
    <t>Nkubana Guy</t>
  </si>
  <si>
    <t>Karuranga Davy Karl</t>
  </si>
  <si>
    <t>Isaro Rubanguka Roxane</t>
  </si>
  <si>
    <t>Izabayo Parfait</t>
  </si>
  <si>
    <t>Quiz /10</t>
  </si>
  <si>
    <t>Ass 1/20</t>
  </si>
  <si>
    <t>Ass 2/20</t>
  </si>
  <si>
    <t>mid term/30</t>
  </si>
  <si>
    <t xml:space="preserve">Course Name: Software Engineering </t>
  </si>
  <si>
    <t>Course Code: SENG 8215</t>
  </si>
  <si>
    <t>Group: G</t>
  </si>
  <si>
    <t>Academic year : 2025-2026</t>
  </si>
  <si>
    <t>25771</t>
  </si>
  <si>
    <t>Ngabo William</t>
  </si>
  <si>
    <t>26462</t>
  </si>
  <si>
    <t>Armstrong Solomon Amiso</t>
  </si>
  <si>
    <t>27139</t>
  </si>
  <si>
    <t>Inema Hirwa Claude Landry</t>
  </si>
  <si>
    <t>27180</t>
  </si>
  <si>
    <t>Uwase Gentille</t>
  </si>
  <si>
    <t>27278</t>
  </si>
  <si>
    <t>Ishimwe Fabrice</t>
  </si>
  <si>
    <t>27399</t>
  </si>
  <si>
    <t>Uwimbabazi Sandrine</t>
  </si>
  <si>
    <t>27427</t>
  </si>
  <si>
    <t>Ishimwe Susurutsa Nardin</t>
  </si>
  <si>
    <t>27528</t>
  </si>
  <si>
    <t>Januario Inocencio Henrique</t>
  </si>
  <si>
    <t>27684</t>
  </si>
  <si>
    <t>Kunda Tabitha</t>
  </si>
  <si>
    <t>27688</t>
  </si>
  <si>
    <t>Mutamba Alice</t>
  </si>
  <si>
    <t>27725</t>
  </si>
  <si>
    <t>Umuhire Eliza</t>
  </si>
  <si>
    <t>27744</t>
  </si>
  <si>
    <t>Ishimwe Eric</t>
  </si>
  <si>
    <t>27751</t>
  </si>
  <si>
    <t>Ishimwe Esther</t>
  </si>
  <si>
    <t>27834</t>
  </si>
  <si>
    <t>Gasarabwe Soleil</t>
  </si>
  <si>
    <t>27866</t>
  </si>
  <si>
    <t>Igiraneza Winny Berlie</t>
  </si>
  <si>
    <t>27888</t>
  </si>
  <si>
    <t xml:space="preserve">Shema Aristide </t>
  </si>
  <si>
    <t>27897</t>
  </si>
  <si>
    <t>Uwineza Delphine</t>
  </si>
  <si>
    <t>27931</t>
  </si>
  <si>
    <t>Uwitonze Philippe</t>
  </si>
  <si>
    <t>27933</t>
  </si>
  <si>
    <t>Ikuzo Pearl Bless</t>
  </si>
  <si>
    <t>27947</t>
  </si>
  <si>
    <t>Rwalinda Irebe Christa</t>
  </si>
  <si>
    <t>27948</t>
  </si>
  <si>
    <t>Rutaremara Angel Faith</t>
  </si>
  <si>
    <t>27966</t>
  </si>
  <si>
    <t xml:space="preserve">Ineza Tania </t>
  </si>
  <si>
    <t>28031</t>
  </si>
  <si>
    <t>Inezayase Isabelle</t>
  </si>
  <si>
    <t>28037</t>
  </si>
  <si>
    <t>Iradukunda Nicole</t>
  </si>
  <si>
    <t>28038</t>
  </si>
  <si>
    <t>Ngarambe Owen Bruno</t>
  </si>
  <si>
    <t>28041</t>
  </si>
  <si>
    <t>Adam Abakar Kayaye Khadidja</t>
  </si>
  <si>
    <t>28046</t>
  </si>
  <si>
    <t>Mutayoba Jabo Yvon</t>
  </si>
  <si>
    <t>28073</t>
  </si>
  <si>
    <t>Keza Edwina</t>
  </si>
  <si>
    <t>28208</t>
  </si>
  <si>
    <t>Munyemana Umuhoza Delice Christell</t>
  </si>
  <si>
    <t>28210</t>
  </si>
  <si>
    <t>Rwangabwoba Igiraneza Marie Paul</t>
  </si>
  <si>
    <t>28215</t>
  </si>
  <si>
    <t>Nelia Pius Okumu</t>
  </si>
  <si>
    <t>28220</t>
  </si>
  <si>
    <t>Himba Aimee Mireille</t>
  </si>
  <si>
    <t>28226</t>
  </si>
  <si>
    <t>Maniraguha Jean Bosco</t>
  </si>
  <si>
    <t>28233</t>
  </si>
  <si>
    <t>Ndahimana Jean Paul</t>
  </si>
  <si>
    <t>28241</t>
  </si>
  <si>
    <t>Irumva Darcy</t>
  </si>
  <si>
    <t>28248</t>
  </si>
  <si>
    <t>Niyibizi Olivier</t>
  </si>
  <si>
    <t>28251</t>
  </si>
  <si>
    <t xml:space="preserve">Batamuriza Hope </t>
  </si>
  <si>
    <t>28256</t>
  </si>
  <si>
    <t>Mushimiyimana  Josiane</t>
  </si>
  <si>
    <t>28264</t>
  </si>
  <si>
    <t xml:space="preserve">Irakoze Nshuti Fabrice </t>
  </si>
  <si>
    <t>28275</t>
  </si>
  <si>
    <t>Hadiel Mohamed Osman Elyas</t>
  </si>
  <si>
    <t>28283</t>
  </si>
  <si>
    <t xml:space="preserve">Mpore Ernesto </t>
  </si>
  <si>
    <t>28285</t>
  </si>
  <si>
    <t>Izere Umwali Christa</t>
  </si>
  <si>
    <t>28289</t>
  </si>
  <si>
    <t>Kavumbagu Nicolas</t>
  </si>
  <si>
    <t>28322</t>
  </si>
  <si>
    <t>Shema Peace Honorine</t>
  </si>
  <si>
    <t>28333</t>
  </si>
  <si>
    <t>Mizero Nshuti Olivier</t>
  </si>
  <si>
    <t>28336</t>
  </si>
  <si>
    <t>Uwamahoro clementine</t>
  </si>
  <si>
    <t>28340</t>
  </si>
  <si>
    <t>Ndaruhutse Moise</t>
  </si>
  <si>
    <t>28347</t>
  </si>
  <si>
    <t>Manzi Haridi</t>
  </si>
  <si>
    <t>28373</t>
  </si>
  <si>
    <t>Kavumbagu Kenny David</t>
  </si>
  <si>
    <t>28388</t>
  </si>
  <si>
    <t xml:space="preserve">Gihozo Eliphide </t>
  </si>
  <si>
    <t>28390</t>
  </si>
  <si>
    <t>Ihimbazwe Gisele</t>
  </si>
  <si>
    <t>28402</t>
  </si>
  <si>
    <t>Gacinya Hirwa Arsene</t>
  </si>
  <si>
    <t>28410</t>
  </si>
  <si>
    <t>Munyanturire Kaliza Liesse</t>
  </si>
  <si>
    <t>28431</t>
  </si>
  <si>
    <t>Umutoniwase Yvonne</t>
  </si>
  <si>
    <t>28449</t>
  </si>
  <si>
    <t>Abayo Emery</t>
  </si>
  <si>
    <t>28460</t>
  </si>
  <si>
    <t>Tuyisenge Alex</t>
  </si>
  <si>
    <t>28881</t>
  </si>
  <si>
    <t xml:space="preserve">	Manzi Habingoma Kevin</t>
  </si>
  <si>
    <t>28886</t>
  </si>
  <si>
    <t>Ishema Kelly</t>
  </si>
  <si>
    <t>29082</t>
  </si>
  <si>
    <t>Shema Effendi Bideri</t>
  </si>
  <si>
    <t>29302</t>
  </si>
  <si>
    <t>Umutesi Uwase Raissa Fatuma</t>
  </si>
  <si>
    <t>29312</t>
  </si>
  <si>
    <t>Umugwaneza Henriette</t>
  </si>
  <si>
    <t>29519</t>
  </si>
  <si>
    <t>Mohammed Ibrahim Mohammed Ali</t>
  </si>
  <si>
    <t>Ishimwe Melissa</t>
  </si>
  <si>
    <t>Inshimwe Billy Joshua</t>
  </si>
  <si>
    <t>22831</t>
  </si>
  <si>
    <t>Mfuranzima Nadette</t>
  </si>
  <si>
    <t>22938</t>
  </si>
  <si>
    <t>Manirumva Samuel</t>
  </si>
  <si>
    <t>24925</t>
  </si>
  <si>
    <t>UMUTONI Nicole</t>
  </si>
  <si>
    <t>25820</t>
  </si>
  <si>
    <t>Bagabo Joy</t>
  </si>
  <si>
    <t>26159</t>
  </si>
  <si>
    <t>Ntwari Arnold Bruce</t>
  </si>
  <si>
    <t>26259</t>
  </si>
  <si>
    <t>Kalisa Ineza Jovith</t>
  </si>
  <si>
    <t>26318</t>
  </si>
  <si>
    <t>Mugabekazi Rinah</t>
  </si>
  <si>
    <t>26444</t>
  </si>
  <si>
    <t>Mba Biteghe Taless Dorly</t>
  </si>
  <si>
    <t>26524</t>
  </si>
  <si>
    <t>Bisimwa Cyusa Kevin</t>
  </si>
  <si>
    <t>26961</t>
  </si>
  <si>
    <t>Shema Amani</t>
  </si>
  <si>
    <t>26989</t>
  </si>
  <si>
    <t>Turikumana Jean Claude</t>
  </si>
  <si>
    <t>27122</t>
  </si>
  <si>
    <t>Dukundimana Clovis</t>
  </si>
  <si>
    <t>27179</t>
  </si>
  <si>
    <t>Ishimwe Odilon</t>
  </si>
  <si>
    <t>27251</t>
  </si>
  <si>
    <t>Habyarimana Mugisha Divin</t>
  </si>
  <si>
    <t>27292</t>
  </si>
  <si>
    <t>Irakoze Kamanzi Anysia</t>
  </si>
  <si>
    <t>27300</t>
  </si>
  <si>
    <t xml:space="preserve">Musoni  Elyse </t>
  </si>
  <si>
    <t>27405</t>
  </si>
  <si>
    <t>Sangwa Kamanzi Melissa</t>
  </si>
  <si>
    <t>27491</t>
  </si>
  <si>
    <t>Kamufozi Gwiza Christian</t>
  </si>
  <si>
    <t>27520</t>
  </si>
  <si>
    <t>Uwera Adeline</t>
  </si>
  <si>
    <t>27530</t>
  </si>
  <si>
    <t>Kasemire Asimwe Benie</t>
  </si>
  <si>
    <t>27617</t>
  </si>
  <si>
    <t>Ucunguyabe Emmelance</t>
  </si>
  <si>
    <t>27771</t>
  </si>
  <si>
    <t xml:space="preserve">Umutoniwase Aliane </t>
  </si>
  <si>
    <t>27772</t>
  </si>
  <si>
    <t>Uwodukunda  Divine</t>
  </si>
  <si>
    <t>27775</t>
  </si>
  <si>
    <t>Rukundo William</t>
  </si>
  <si>
    <t>27812</t>
  </si>
  <si>
    <t>Dushime Aline Denise</t>
  </si>
  <si>
    <t>27813</t>
  </si>
  <si>
    <t>Izabayo Divine</t>
  </si>
  <si>
    <t>27828</t>
  </si>
  <si>
    <t>ugiriwimbabazi belyse</t>
  </si>
  <si>
    <t>27829</t>
  </si>
  <si>
    <t>Uwineza Happy</t>
  </si>
  <si>
    <t>27833</t>
  </si>
  <si>
    <t xml:space="preserve">Gihozo Vanessa Erika </t>
  </si>
  <si>
    <t>27892</t>
  </si>
  <si>
    <t>Umuhoza Alia</t>
  </si>
  <si>
    <t>27894</t>
  </si>
  <si>
    <t>Birashoboka Habumugisha Peace</t>
  </si>
  <si>
    <t>27906</t>
  </si>
  <si>
    <t xml:space="preserve">Mbonyumugara  Mushi </t>
  </si>
  <si>
    <t>28039</t>
  </si>
  <si>
    <t>Hagenimana Aime de Dieu</t>
  </si>
  <si>
    <t>28048</t>
  </si>
  <si>
    <t>Rudahigwa Mparabanyi Loic</t>
  </si>
  <si>
    <t>28057</t>
  </si>
  <si>
    <t>Murerwa Molly</t>
  </si>
  <si>
    <t>28212</t>
  </si>
  <si>
    <t>Karema Juventus Mathew</t>
  </si>
  <si>
    <t>28228</t>
  </si>
  <si>
    <t>Ntwari Cedric</t>
  </si>
  <si>
    <t>28250</t>
  </si>
  <si>
    <t>Irumva Edmond</t>
  </si>
  <si>
    <t>28270</t>
  </si>
  <si>
    <t>Ihirwe Pacifique</t>
  </si>
  <si>
    <t>28286</t>
  </si>
  <si>
    <t>Rwasibo Elie</t>
  </si>
  <si>
    <t>28288</t>
  </si>
  <si>
    <t>Buregeya Teta Samuella</t>
  </si>
  <si>
    <t>28306</t>
  </si>
  <si>
    <t>Mariza Teddy</t>
  </si>
  <si>
    <t>28310</t>
  </si>
  <si>
    <t>Hirwa Haguma Hubert</t>
  </si>
  <si>
    <t>28317</t>
  </si>
  <si>
    <t>Ishimwe Pierre</t>
  </si>
  <si>
    <t>28362</t>
  </si>
  <si>
    <t>Mugisha Justin</t>
  </si>
  <si>
    <t>28377</t>
  </si>
  <si>
    <t>Akoguteta Laura Anaise</t>
  </si>
  <si>
    <t>28392</t>
  </si>
  <si>
    <t>Irembere olivier</t>
  </si>
  <si>
    <t>28429</t>
  </si>
  <si>
    <t>Ishimwe Alsene</t>
  </si>
  <si>
    <t>28432</t>
  </si>
  <si>
    <t xml:space="preserve">Uwitonze Sonia </t>
  </si>
  <si>
    <t>28439</t>
  </si>
  <si>
    <t>Feeza Winnie</t>
  </si>
  <si>
    <t>28444</t>
  </si>
  <si>
    <t>Gisa Chris Munyangaju</t>
  </si>
  <si>
    <t>28488</t>
  </si>
  <si>
    <t>Mpuhwezimana Pamphile</t>
  </si>
  <si>
    <t>28494</t>
  </si>
  <si>
    <t>Bigwaneza Ishimwe Davdson</t>
  </si>
  <si>
    <t>28495</t>
  </si>
  <si>
    <t>Ganza Rutsinga Queen</t>
  </si>
  <si>
    <t>28498</t>
  </si>
  <si>
    <t xml:space="preserve">Gatesi Doreen </t>
  </si>
  <si>
    <t>28499</t>
  </si>
  <si>
    <t>Komeza Manasse</t>
  </si>
  <si>
    <t>28533</t>
  </si>
  <si>
    <t>Byiringiro Benjamin</t>
  </si>
  <si>
    <t>28824</t>
  </si>
  <si>
    <t>Tuyiringire Bonheur</t>
  </si>
  <si>
    <t>28873</t>
  </si>
  <si>
    <t>Niyonzima Egide</t>
  </si>
  <si>
    <t>28954</t>
  </si>
  <si>
    <t>INEMA Sentama Laure</t>
  </si>
  <si>
    <t>28975</t>
  </si>
  <si>
    <t xml:space="preserve">	Byishimo Alex</t>
  </si>
  <si>
    <t>29074</t>
  </si>
  <si>
    <t>Rugenzi Prince Lewis</t>
  </si>
  <si>
    <t>29085</t>
  </si>
  <si>
    <t>Mucyo fabrice</t>
  </si>
  <si>
    <t>29160</t>
  </si>
  <si>
    <t>Sheja Shalom</t>
  </si>
  <si>
    <t>29196</t>
  </si>
  <si>
    <t>Gisubizo Jean Claude</t>
  </si>
  <si>
    <t>29257</t>
  </si>
  <si>
    <t xml:space="preserve">NIYOMWUNGERI Emmanuel </t>
  </si>
  <si>
    <t>29268</t>
  </si>
  <si>
    <t>sikubwabo safari</t>
  </si>
  <si>
    <t>24666</t>
  </si>
  <si>
    <t>Niyikiza Eric</t>
  </si>
  <si>
    <t>26144</t>
  </si>
  <si>
    <t>Mutabonwa Sharon</t>
  </si>
  <si>
    <t>26147</t>
  </si>
  <si>
    <t>Ituze Paradis</t>
  </si>
  <si>
    <t>26277</t>
  </si>
  <si>
    <t>Rebeka Patience</t>
  </si>
  <si>
    <t>26458</t>
  </si>
  <si>
    <t>Umutoni Nice</t>
  </si>
  <si>
    <t>26461</t>
  </si>
  <si>
    <t>Araje Divin</t>
  </si>
  <si>
    <t>26478</t>
  </si>
  <si>
    <t>Abumukiza Shimirwa Leon Christian</t>
  </si>
  <si>
    <t>26585</t>
  </si>
  <si>
    <t>Kanyana Alia</t>
  </si>
  <si>
    <t>26640</t>
  </si>
  <si>
    <t>Mukeshimana Janice Dorcas</t>
  </si>
  <si>
    <t>26662</t>
  </si>
  <si>
    <t>Muhamyankaka Ishimwe Olga</t>
  </si>
  <si>
    <t>26664</t>
  </si>
  <si>
    <t>Niyigena Hirwa Flora</t>
  </si>
  <si>
    <t>26898</t>
  </si>
  <si>
    <t>Nkurunziza Salomon</t>
  </si>
  <si>
    <t>26977</t>
  </si>
  <si>
    <t>Nishimwe Johnson</t>
  </si>
  <si>
    <t>27111</t>
  </si>
  <si>
    <t>27133</t>
  </si>
  <si>
    <t xml:space="preserve">Musana Jean Bosco </t>
  </si>
  <si>
    <t>27141</t>
  </si>
  <si>
    <t>Serutamba Hertier</t>
  </si>
  <si>
    <t>27321</t>
  </si>
  <si>
    <t xml:space="preserve">Rugomwa Imam Shafi </t>
  </si>
  <si>
    <t>27549</t>
  </si>
  <si>
    <t>Uwizeye Docile</t>
  </si>
  <si>
    <t>27600</t>
  </si>
  <si>
    <t>Manzi Kennedy</t>
  </si>
  <si>
    <t>27674</t>
  </si>
  <si>
    <t>Uwase Athalia</t>
  </si>
  <si>
    <t>27686</t>
  </si>
  <si>
    <t>Habihirwe Claudette</t>
  </si>
  <si>
    <t>27784</t>
  </si>
  <si>
    <t>Kamanda dan</t>
  </si>
  <si>
    <t>27800</t>
  </si>
  <si>
    <t>Ndarasi Kaliza Chela</t>
  </si>
  <si>
    <t>27830</t>
  </si>
  <si>
    <t>Uwumuremyi Honorine</t>
  </si>
  <si>
    <t>27835</t>
  </si>
  <si>
    <t>Joseph P Gbanah</t>
  </si>
  <si>
    <t>27891</t>
  </si>
  <si>
    <t>Mugisha Chris</t>
  </si>
  <si>
    <t>27954</t>
  </si>
  <si>
    <t xml:space="preserve">Umugwaneza Samantha </t>
  </si>
  <si>
    <t>27970</t>
  </si>
  <si>
    <t>Isaro Shania Ida</t>
  </si>
  <si>
    <t>27983</t>
  </si>
  <si>
    <t>Irasubiza Pacifique</t>
  </si>
  <si>
    <t>28214</t>
  </si>
  <si>
    <t xml:space="preserve">Vuguziga Sultan Ray </t>
  </si>
  <si>
    <t>28216</t>
  </si>
  <si>
    <t>Byiringiro Maurice</t>
  </si>
  <si>
    <t>28230</t>
  </si>
  <si>
    <t>Rugambwa Davin</t>
  </si>
  <si>
    <t>28235</t>
  </si>
  <si>
    <t>Umwizerwa Ruth</t>
  </si>
  <si>
    <t>28237</t>
  </si>
  <si>
    <t>Cyiza Olivier</t>
  </si>
  <si>
    <t>28312</t>
  </si>
  <si>
    <t>Iraguha Sandrine</t>
  </si>
  <si>
    <t>28313</t>
  </si>
  <si>
    <t>Arinatwe Hope</t>
  </si>
  <si>
    <t>28361</t>
  </si>
  <si>
    <t>Seminega David</t>
  </si>
  <si>
    <t>28376</t>
  </si>
  <si>
    <t>Mutoni Patience</t>
  </si>
  <si>
    <t>28387</t>
  </si>
  <si>
    <t>Izabayo Gitego Nadine</t>
  </si>
  <si>
    <t>28407</t>
  </si>
  <si>
    <t>Kabatesi Sylvie</t>
  </si>
  <si>
    <t>28417</t>
  </si>
  <si>
    <t>Tuyisenge Kelly</t>
  </si>
  <si>
    <t>28419</t>
  </si>
  <si>
    <t>Kwizera Alexis</t>
  </si>
  <si>
    <t>28430</t>
  </si>
  <si>
    <t xml:space="preserve">Iradukunda Aime Gentille </t>
  </si>
  <si>
    <t>28455</t>
  </si>
  <si>
    <t>Ishimwe Billy Joshua</t>
  </si>
  <si>
    <t>28466</t>
  </si>
  <si>
    <t>Bugingo Jean de Dieu</t>
  </si>
  <si>
    <t>28469</t>
  </si>
  <si>
    <t>Uwayezu Lydie</t>
  </si>
  <si>
    <t>28491</t>
  </si>
  <si>
    <t>Nsengiyumva George</t>
  </si>
  <si>
    <t>28769</t>
  </si>
  <si>
    <t>Himbazwe Emerance</t>
  </si>
  <si>
    <t>28775</t>
  </si>
  <si>
    <t>Gihozo Gisline</t>
  </si>
  <si>
    <t>28779</t>
  </si>
  <si>
    <t>Uwajeneza Melissa</t>
  </si>
  <si>
    <t>28953</t>
  </si>
  <si>
    <t>Ntirivamunda Keza</t>
  </si>
  <si>
    <t>28981</t>
  </si>
  <si>
    <t>Manzi Prince</t>
  </si>
  <si>
    <t>29061</t>
  </si>
  <si>
    <t>Mutangana Joseph</t>
  </si>
  <si>
    <t>29062</t>
  </si>
  <si>
    <t>Ishimwe Gad</t>
  </si>
  <si>
    <t>29079</t>
  </si>
  <si>
    <t>Umwali Keza Kenia</t>
  </si>
  <si>
    <t>29121</t>
  </si>
  <si>
    <t>Iradukunda Deborah</t>
  </si>
  <si>
    <t>29390</t>
  </si>
  <si>
    <t>Ishimwe Teta Keyla</t>
  </si>
  <si>
    <t>Ishimwe Ange</t>
  </si>
  <si>
    <t>Total/100</t>
  </si>
  <si>
    <t>Group: L</t>
  </si>
  <si>
    <t>Group: F</t>
  </si>
  <si>
    <t>Group: I</t>
  </si>
  <si>
    <t>Total Ass.+Quiz/30</t>
  </si>
  <si>
    <t>CATS/60</t>
  </si>
  <si>
    <t>INC</t>
  </si>
  <si>
    <t>Dr.Gaspard GASHEMA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</si>
</sst>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6"/>
      <name val="Calibri"/>
      <family val="2"/>
    </font>
    <font>
      <b/>
      <sz val="11"/>
      <name val="Calibri"/>
      <family val="2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4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color theme="1"/>
      <name val="Century Gothic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textRotation="90"/>
    </xf>
    <xf numFmtId="0" fontId="4" fillId="0" borderId="1" xfId="0" applyFont="1" applyBorder="1"/>
    <xf numFmtId="0" fontId="4" fillId="0" borderId="5" xfId="0" applyFont="1" applyBorder="1"/>
    <xf numFmtId="0" fontId="0" fillId="2" borderId="0" xfId="0" applyFill="1"/>
    <xf numFmtId="0" fontId="5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3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textRotation="90"/>
    </xf>
    <xf numFmtId="0" fontId="9" fillId="2" borderId="1" xfId="0" applyFont="1" applyFill="1" applyBorder="1"/>
    <xf numFmtId="0" fontId="8" fillId="2" borderId="1" xfId="0" applyFont="1" applyFill="1" applyBorder="1"/>
    <xf numFmtId="14" fontId="0" fillId="0" borderId="0" xfId="0" applyNumberFormat="1"/>
    <xf numFmtId="0" fontId="0" fillId="3" borderId="1" xfId="0" applyFill="1" applyBorder="1"/>
    <xf numFmtId="0" fontId="13" fillId="0" borderId="0" xfId="0" applyFont="1"/>
    <xf numFmtId="0" fontId="12" fillId="0" borderId="1" xfId="0" applyFont="1" applyBorder="1"/>
    <xf numFmtId="0" fontId="13" fillId="2" borderId="0" xfId="0" applyFont="1" applyFill="1"/>
    <xf numFmtId="0" fontId="7" fillId="0" borderId="2" xfId="0" applyFont="1" applyBorder="1" applyAlignment="1">
      <alignment horizontal="center"/>
    </xf>
    <xf numFmtId="0" fontId="0" fillId="2" borderId="1" xfId="0" applyFill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2" fillId="2" borderId="1" xfId="0" applyFont="1" applyFill="1" applyBorder="1"/>
    <xf numFmtId="0" fontId="12" fillId="3" borderId="1" xfId="0" applyFont="1" applyFill="1" applyBorder="1"/>
    <xf numFmtId="0" fontId="15" fillId="0" borderId="1" xfId="0" applyFont="1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26035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581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6985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642460EA-703B-4A65-8D1D-2C9160CB1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60768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6985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B60D1FFB-E399-411A-9644-AE05D4F3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60768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111760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D272B9E7-DB9A-4B50-97AE-48EAFCE28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60768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opLeftCell="A14" zoomScaleNormal="100" workbookViewId="0">
      <selection activeCell="P20" sqref="P20"/>
    </sheetView>
  </sheetViews>
  <sheetFormatPr defaultColWidth="9.140625" defaultRowHeight="15" x14ac:dyDescent="0.25"/>
  <cols>
    <col min="1" max="1" width="5.5703125" customWidth="1"/>
    <col min="2" max="2" width="7.28515625" customWidth="1"/>
    <col min="3" max="3" width="36.5703125" customWidth="1"/>
    <col min="4" max="4" width="7" style="7" customWidth="1"/>
    <col min="5" max="5" width="7.140625" customWidth="1"/>
    <col min="6" max="6" width="7.28515625" customWidth="1"/>
    <col min="7" max="9" width="6.42578125" customWidth="1"/>
    <col min="10" max="10" width="7.42578125" customWidth="1"/>
    <col min="11" max="11" width="7.5703125" customWidth="1"/>
    <col min="12" max="12" width="7" customWidth="1"/>
  </cols>
  <sheetData>
    <row r="1" spans="1:12" s="1" customFormat="1" x14ac:dyDescent="0.25">
      <c r="D1" s="19"/>
    </row>
    <row r="2" spans="1:12" s="1" customFormat="1" x14ac:dyDescent="0.25">
      <c r="D2" s="19"/>
    </row>
    <row r="3" spans="1:12" s="1" customFormat="1" x14ac:dyDescent="0.25">
      <c r="D3" s="19"/>
    </row>
    <row r="4" spans="1:12" s="1" customFormat="1" x14ac:dyDescent="0.25">
      <c r="D4" s="19"/>
    </row>
    <row r="5" spans="1:12" s="1" customFormat="1" x14ac:dyDescent="0.25">
      <c r="D5" s="19"/>
    </row>
    <row r="6" spans="1:12" s="1" customFormat="1" x14ac:dyDescent="0.25">
      <c r="D6" s="19"/>
    </row>
    <row r="7" spans="1:12" s="1" customFormat="1" x14ac:dyDescent="0.25">
      <c r="A7" s="1" t="s">
        <v>8</v>
      </c>
      <c r="D7" s="20" t="s">
        <v>157</v>
      </c>
      <c r="E7" s="2"/>
      <c r="F7" s="2"/>
      <c r="G7" s="2"/>
      <c r="H7" s="2"/>
      <c r="I7" s="2"/>
      <c r="J7" s="2"/>
    </row>
    <row r="8" spans="1:12" s="1" customFormat="1" x14ac:dyDescent="0.25">
      <c r="A8" s="1" t="s">
        <v>0</v>
      </c>
      <c r="D8" s="19" t="s">
        <v>26</v>
      </c>
    </row>
    <row r="9" spans="1:12" s="1" customFormat="1" x14ac:dyDescent="0.25">
      <c r="A9" s="1" t="s">
        <v>155</v>
      </c>
      <c r="D9" s="19" t="s">
        <v>27</v>
      </c>
    </row>
    <row r="10" spans="1:12" s="1" customFormat="1" x14ac:dyDescent="0.25">
      <c r="A10" s="1" t="s">
        <v>154</v>
      </c>
      <c r="D10" s="19" t="s">
        <v>28</v>
      </c>
    </row>
    <row r="11" spans="1:12" s="1" customFormat="1" x14ac:dyDescent="0.25">
      <c r="A11" s="1" t="s">
        <v>29</v>
      </c>
      <c r="D11" s="19" t="s">
        <v>156</v>
      </c>
    </row>
    <row r="12" spans="1:12" s="1" customFormat="1" x14ac:dyDescent="0.25">
      <c r="D12" s="19"/>
    </row>
    <row r="13" spans="1:12" s="1" customFormat="1" x14ac:dyDescent="0.25">
      <c r="C13" s="2" t="s">
        <v>25</v>
      </c>
      <c r="D13" s="19"/>
    </row>
    <row r="14" spans="1:12" s="1" customFormat="1" x14ac:dyDescent="0.25">
      <c r="D14" s="19"/>
    </row>
    <row r="15" spans="1:12" ht="92.25" x14ac:dyDescent="0.25">
      <c r="A15" s="3" t="s">
        <v>1</v>
      </c>
      <c r="B15" s="3" t="s">
        <v>2</v>
      </c>
      <c r="C15" s="3" t="s">
        <v>3</v>
      </c>
      <c r="D15" s="21" t="s">
        <v>150</v>
      </c>
      <c r="E15" s="4" t="s">
        <v>151</v>
      </c>
      <c r="F15" s="4" t="s">
        <v>152</v>
      </c>
      <c r="G15" s="4" t="s">
        <v>536</v>
      </c>
      <c r="H15" s="4" t="s">
        <v>153</v>
      </c>
      <c r="I15" s="4" t="s">
        <v>537</v>
      </c>
      <c r="J15" s="4" t="s">
        <v>4</v>
      </c>
      <c r="K15" s="4" t="s">
        <v>532</v>
      </c>
      <c r="L15" s="4" t="s">
        <v>5</v>
      </c>
    </row>
    <row r="16" spans="1:12" x14ac:dyDescent="0.25">
      <c r="A16" s="3">
        <v>1</v>
      </c>
      <c r="B16" s="3" t="s">
        <v>30</v>
      </c>
      <c r="C16" s="3" t="s">
        <v>89</v>
      </c>
      <c r="D16" s="3">
        <v>10</v>
      </c>
      <c r="E16" s="3">
        <v>18</v>
      </c>
      <c r="F16" s="3">
        <v>17</v>
      </c>
      <c r="G16" s="3">
        <f>(D16+E16+F16)*30/50</f>
        <v>27</v>
      </c>
      <c r="H16" s="3">
        <v>13</v>
      </c>
      <c r="I16" s="3">
        <f>H16+G16</f>
        <v>40</v>
      </c>
      <c r="J16" s="30">
        <v>22</v>
      </c>
      <c r="K16" s="30">
        <f>I16+J16</f>
        <v>62</v>
      </c>
      <c r="L16" s="30">
        <f>ROUND(K16*20/100,1)</f>
        <v>12.4</v>
      </c>
    </row>
    <row r="17" spans="1:12" x14ac:dyDescent="0.25">
      <c r="A17" s="3">
        <v>2</v>
      </c>
      <c r="B17" s="3" t="s">
        <v>31</v>
      </c>
      <c r="C17" s="3" t="s">
        <v>90</v>
      </c>
      <c r="D17" s="3">
        <v>10</v>
      </c>
      <c r="E17" s="3">
        <v>18</v>
      </c>
      <c r="F17" s="3">
        <v>19</v>
      </c>
      <c r="G17" s="3">
        <f t="shared" ref="G17:G75" si="0">(D17+E17+F17)*30/50</f>
        <v>28.2</v>
      </c>
      <c r="H17" s="3">
        <v>13</v>
      </c>
      <c r="I17" s="3">
        <f>H17+G17</f>
        <v>41.2</v>
      </c>
      <c r="J17" s="3">
        <v>28</v>
      </c>
      <c r="K17" s="3">
        <f>I17+J17</f>
        <v>69.2</v>
      </c>
      <c r="L17" s="30">
        <f t="shared" ref="L17:L75" si="1">ROUND(K17*20/100,1)</f>
        <v>13.8</v>
      </c>
    </row>
    <row r="18" spans="1:12" x14ac:dyDescent="0.25">
      <c r="A18" s="3">
        <v>3</v>
      </c>
      <c r="B18" s="3" t="s">
        <v>32</v>
      </c>
      <c r="C18" s="3" t="s">
        <v>91</v>
      </c>
      <c r="D18" s="3">
        <v>10</v>
      </c>
      <c r="E18" s="3">
        <v>18</v>
      </c>
      <c r="F18" s="3">
        <v>19</v>
      </c>
      <c r="G18" s="3">
        <f t="shared" si="0"/>
        <v>28.2</v>
      </c>
      <c r="H18" s="3">
        <v>6</v>
      </c>
      <c r="I18" s="3">
        <f>H18+G18</f>
        <v>34.200000000000003</v>
      </c>
      <c r="J18" s="3">
        <v>27</v>
      </c>
      <c r="K18" s="3">
        <f>I18+J18</f>
        <v>61.2</v>
      </c>
      <c r="L18" s="30">
        <f t="shared" si="1"/>
        <v>12.2</v>
      </c>
    </row>
    <row r="19" spans="1:12" x14ac:dyDescent="0.25">
      <c r="A19" s="3">
        <v>4</v>
      </c>
      <c r="B19" s="3" t="s">
        <v>33</v>
      </c>
      <c r="C19" s="3" t="s">
        <v>92</v>
      </c>
      <c r="D19" s="3">
        <v>10</v>
      </c>
      <c r="E19" s="3">
        <v>19</v>
      </c>
      <c r="F19" s="3">
        <v>19</v>
      </c>
      <c r="G19" s="3">
        <f t="shared" si="0"/>
        <v>28.8</v>
      </c>
      <c r="H19" s="3">
        <v>20</v>
      </c>
      <c r="I19" s="3">
        <f>H19+G19</f>
        <v>48.8</v>
      </c>
      <c r="J19" s="3">
        <v>33</v>
      </c>
      <c r="K19" s="3">
        <f>I19+J19</f>
        <v>81.8</v>
      </c>
      <c r="L19" s="30">
        <f t="shared" si="1"/>
        <v>16.399999999999999</v>
      </c>
    </row>
    <row r="20" spans="1:12" x14ac:dyDescent="0.25">
      <c r="A20" s="3">
        <v>5</v>
      </c>
      <c r="B20" s="3" t="s">
        <v>34</v>
      </c>
      <c r="C20" s="3" t="s">
        <v>93</v>
      </c>
      <c r="D20" s="3">
        <v>10</v>
      </c>
      <c r="E20" s="3">
        <v>17</v>
      </c>
      <c r="F20" s="3">
        <v>18</v>
      </c>
      <c r="G20" s="3">
        <f t="shared" si="0"/>
        <v>27</v>
      </c>
      <c r="H20" s="3">
        <v>13</v>
      </c>
      <c r="I20" s="3">
        <f>H20+G20</f>
        <v>40</v>
      </c>
      <c r="J20" s="3">
        <v>26</v>
      </c>
      <c r="K20" s="3">
        <f>I20+J20</f>
        <v>66</v>
      </c>
      <c r="L20" s="30">
        <f t="shared" si="1"/>
        <v>13.2</v>
      </c>
    </row>
    <row r="21" spans="1:12" x14ac:dyDescent="0.25">
      <c r="A21" s="3">
        <v>6</v>
      </c>
      <c r="B21" s="3" t="s">
        <v>35</v>
      </c>
      <c r="C21" s="3" t="s">
        <v>94</v>
      </c>
      <c r="D21" s="3">
        <v>10</v>
      </c>
      <c r="E21" s="3">
        <v>17</v>
      </c>
      <c r="F21" s="3">
        <v>19</v>
      </c>
      <c r="G21" s="3">
        <f t="shared" si="0"/>
        <v>27.6</v>
      </c>
      <c r="H21" s="3">
        <v>27</v>
      </c>
      <c r="I21" s="3">
        <f>H21+G21</f>
        <v>54.6</v>
      </c>
      <c r="J21" s="3">
        <v>28.5</v>
      </c>
      <c r="K21" s="3">
        <f>I21+J21</f>
        <v>83.1</v>
      </c>
      <c r="L21" s="30">
        <f t="shared" si="1"/>
        <v>16.600000000000001</v>
      </c>
    </row>
    <row r="22" spans="1:12" x14ac:dyDescent="0.25">
      <c r="A22" s="3">
        <v>7</v>
      </c>
      <c r="B22" s="3" t="s">
        <v>36</v>
      </c>
      <c r="C22" s="3" t="s">
        <v>95</v>
      </c>
      <c r="D22" s="3">
        <v>10</v>
      </c>
      <c r="E22" s="3">
        <v>10</v>
      </c>
      <c r="F22" s="3">
        <v>10</v>
      </c>
      <c r="G22" s="3">
        <f t="shared" si="0"/>
        <v>18</v>
      </c>
      <c r="H22" s="3">
        <v>26</v>
      </c>
      <c r="I22" s="3">
        <f>H22+G22</f>
        <v>44</v>
      </c>
      <c r="J22" s="25"/>
      <c r="K22" s="42" t="s">
        <v>538</v>
      </c>
      <c r="L22" s="42" t="s">
        <v>538</v>
      </c>
    </row>
    <row r="23" spans="1:12" x14ac:dyDescent="0.25">
      <c r="A23" s="3">
        <v>8</v>
      </c>
      <c r="B23" s="3" t="s">
        <v>37</v>
      </c>
      <c r="C23" s="3" t="s">
        <v>96</v>
      </c>
      <c r="D23" s="3">
        <v>10</v>
      </c>
      <c r="E23" s="3">
        <v>18</v>
      </c>
      <c r="F23" s="3">
        <v>17</v>
      </c>
      <c r="G23" s="3">
        <f t="shared" si="0"/>
        <v>27</v>
      </c>
      <c r="H23" s="3">
        <v>18</v>
      </c>
      <c r="I23" s="3">
        <f>H23+G23</f>
        <v>45</v>
      </c>
      <c r="J23" s="3">
        <v>34.5</v>
      </c>
      <c r="K23" s="3">
        <f>I23+J23</f>
        <v>79.5</v>
      </c>
      <c r="L23" s="30">
        <f t="shared" si="1"/>
        <v>15.9</v>
      </c>
    </row>
    <row r="24" spans="1:12" x14ac:dyDescent="0.25">
      <c r="A24" s="3">
        <v>9</v>
      </c>
      <c r="B24" s="3" t="s">
        <v>38</v>
      </c>
      <c r="C24" s="3" t="s">
        <v>97</v>
      </c>
      <c r="D24" s="3">
        <v>10</v>
      </c>
      <c r="E24" s="3">
        <v>10</v>
      </c>
      <c r="F24" s="3">
        <v>19</v>
      </c>
      <c r="G24" s="3">
        <f t="shared" si="0"/>
        <v>23.4</v>
      </c>
      <c r="H24" s="3">
        <v>15</v>
      </c>
      <c r="I24" s="3">
        <f>H24+G24</f>
        <v>38.4</v>
      </c>
      <c r="J24" s="3">
        <v>19</v>
      </c>
      <c r="K24" s="3">
        <f>I24+J24</f>
        <v>57.4</v>
      </c>
      <c r="L24" s="30">
        <f t="shared" si="1"/>
        <v>11.5</v>
      </c>
    </row>
    <row r="25" spans="1:12" x14ac:dyDescent="0.25">
      <c r="A25" s="3">
        <v>10</v>
      </c>
      <c r="B25" s="3" t="s">
        <v>39</v>
      </c>
      <c r="C25" s="3" t="s">
        <v>98</v>
      </c>
      <c r="D25" s="3">
        <v>10</v>
      </c>
      <c r="E25" s="3">
        <v>18</v>
      </c>
      <c r="F25" s="3">
        <v>19</v>
      </c>
      <c r="G25" s="3">
        <f t="shared" si="0"/>
        <v>28.2</v>
      </c>
      <c r="H25" s="3">
        <v>24</v>
      </c>
      <c r="I25" s="3">
        <f>H25+G25</f>
        <v>52.2</v>
      </c>
      <c r="J25" s="3">
        <v>29</v>
      </c>
      <c r="K25" s="3">
        <f>I25+J25</f>
        <v>81.2</v>
      </c>
      <c r="L25" s="30">
        <f t="shared" si="1"/>
        <v>16.2</v>
      </c>
    </row>
    <row r="26" spans="1:12" ht="14.25" customHeight="1" x14ac:dyDescent="0.25">
      <c r="A26" s="3">
        <v>11</v>
      </c>
      <c r="B26" s="3" t="s">
        <v>40</v>
      </c>
      <c r="C26" s="3" t="s">
        <v>99</v>
      </c>
      <c r="D26" s="3">
        <v>10</v>
      </c>
      <c r="E26" s="3">
        <v>19</v>
      </c>
      <c r="F26" s="3">
        <v>19</v>
      </c>
      <c r="G26" s="3">
        <f t="shared" si="0"/>
        <v>28.8</v>
      </c>
      <c r="H26" s="3">
        <v>25</v>
      </c>
      <c r="I26" s="3">
        <f>H26+G26</f>
        <v>53.8</v>
      </c>
      <c r="J26" s="3">
        <v>35.5</v>
      </c>
      <c r="K26" s="3">
        <f>I26+J26</f>
        <v>89.3</v>
      </c>
      <c r="L26" s="30">
        <f t="shared" si="1"/>
        <v>17.899999999999999</v>
      </c>
    </row>
    <row r="27" spans="1:12" x14ac:dyDescent="0.25">
      <c r="A27" s="3">
        <v>12</v>
      </c>
      <c r="B27" s="3" t="s">
        <v>41</v>
      </c>
      <c r="C27" s="3" t="s">
        <v>100</v>
      </c>
      <c r="D27" s="3">
        <v>10</v>
      </c>
      <c r="E27" s="3">
        <v>18</v>
      </c>
      <c r="F27" s="3">
        <v>17</v>
      </c>
      <c r="G27" s="3">
        <f t="shared" si="0"/>
        <v>27</v>
      </c>
      <c r="H27" s="3">
        <v>21</v>
      </c>
      <c r="I27" s="3">
        <f>H27+G27</f>
        <v>48</v>
      </c>
      <c r="J27" s="3">
        <v>23.5</v>
      </c>
      <c r="K27" s="3">
        <f>I27+J27</f>
        <v>71.5</v>
      </c>
      <c r="L27" s="30">
        <f t="shared" si="1"/>
        <v>14.3</v>
      </c>
    </row>
    <row r="28" spans="1:12" x14ac:dyDescent="0.25">
      <c r="A28" s="3">
        <v>13</v>
      </c>
      <c r="B28" s="3" t="s">
        <v>42</v>
      </c>
      <c r="C28" s="3" t="s">
        <v>101</v>
      </c>
      <c r="D28" s="3">
        <v>10</v>
      </c>
      <c r="E28" s="3">
        <v>10</v>
      </c>
      <c r="F28" s="3">
        <v>19</v>
      </c>
      <c r="G28" s="3">
        <f t="shared" si="0"/>
        <v>23.4</v>
      </c>
      <c r="H28" s="3">
        <v>17</v>
      </c>
      <c r="I28" s="3">
        <f>H28+G28</f>
        <v>40.4</v>
      </c>
      <c r="J28" s="3">
        <v>32</v>
      </c>
      <c r="K28" s="3">
        <f>I28+J28</f>
        <v>72.400000000000006</v>
      </c>
      <c r="L28" s="30">
        <f t="shared" si="1"/>
        <v>14.5</v>
      </c>
    </row>
    <row r="29" spans="1:12" x14ac:dyDescent="0.25">
      <c r="A29" s="3">
        <v>14</v>
      </c>
      <c r="B29" s="3" t="s">
        <v>43</v>
      </c>
      <c r="C29" s="3" t="s">
        <v>102</v>
      </c>
      <c r="D29" s="3">
        <v>10</v>
      </c>
      <c r="E29" s="3">
        <v>10</v>
      </c>
      <c r="F29" s="3">
        <v>19</v>
      </c>
      <c r="G29" s="3">
        <f t="shared" si="0"/>
        <v>23.4</v>
      </c>
      <c r="H29" s="3">
        <v>29</v>
      </c>
      <c r="I29" s="3">
        <f>H29+G29</f>
        <v>52.4</v>
      </c>
      <c r="J29" s="3">
        <v>38</v>
      </c>
      <c r="K29" s="3">
        <f>I29+J29</f>
        <v>90.4</v>
      </c>
      <c r="L29" s="30">
        <f t="shared" si="1"/>
        <v>18.100000000000001</v>
      </c>
    </row>
    <row r="30" spans="1:12" x14ac:dyDescent="0.25">
      <c r="A30" s="3">
        <v>15</v>
      </c>
      <c r="B30" s="3" t="s">
        <v>44</v>
      </c>
      <c r="C30" s="3" t="s">
        <v>103</v>
      </c>
      <c r="D30" s="3">
        <v>10</v>
      </c>
      <c r="E30" s="3">
        <v>18</v>
      </c>
      <c r="F30" s="3">
        <v>19</v>
      </c>
      <c r="G30" s="3">
        <f t="shared" si="0"/>
        <v>28.2</v>
      </c>
      <c r="H30" s="3">
        <v>24</v>
      </c>
      <c r="I30" s="3">
        <f>H30+G30</f>
        <v>52.2</v>
      </c>
      <c r="J30" s="3">
        <v>39</v>
      </c>
      <c r="K30" s="3">
        <f>I30+J30</f>
        <v>91.2</v>
      </c>
      <c r="L30" s="30">
        <f t="shared" si="1"/>
        <v>18.2</v>
      </c>
    </row>
    <row r="31" spans="1:12" x14ac:dyDescent="0.25">
      <c r="A31" s="3">
        <v>16</v>
      </c>
      <c r="B31" s="3" t="s">
        <v>45</v>
      </c>
      <c r="C31" s="3" t="s">
        <v>104</v>
      </c>
      <c r="D31" s="3">
        <v>10</v>
      </c>
      <c r="E31" s="3">
        <v>10</v>
      </c>
      <c r="F31" s="3">
        <v>19</v>
      </c>
      <c r="G31" s="3">
        <f t="shared" si="0"/>
        <v>23.4</v>
      </c>
      <c r="H31" s="3">
        <v>17</v>
      </c>
      <c r="I31" s="3">
        <f>H31+G31</f>
        <v>40.4</v>
      </c>
      <c r="J31" s="3">
        <v>22</v>
      </c>
      <c r="K31" s="3">
        <f>I31+J31</f>
        <v>62.4</v>
      </c>
      <c r="L31" s="30">
        <f t="shared" si="1"/>
        <v>12.5</v>
      </c>
    </row>
    <row r="32" spans="1:12" x14ac:dyDescent="0.25">
      <c r="A32" s="3">
        <v>17</v>
      </c>
      <c r="B32" s="3" t="s">
        <v>46</v>
      </c>
      <c r="C32" s="3" t="s">
        <v>105</v>
      </c>
      <c r="D32" s="3">
        <v>10</v>
      </c>
      <c r="E32" s="3">
        <v>10</v>
      </c>
      <c r="F32" s="3">
        <v>19</v>
      </c>
      <c r="G32" s="3">
        <f t="shared" si="0"/>
        <v>23.4</v>
      </c>
      <c r="H32" s="3">
        <v>21</v>
      </c>
      <c r="I32" s="3">
        <f>H32+G32</f>
        <v>44.4</v>
      </c>
      <c r="J32" s="3">
        <v>31.5</v>
      </c>
      <c r="K32" s="3">
        <f>I32+J32</f>
        <v>75.900000000000006</v>
      </c>
      <c r="L32" s="30">
        <f t="shared" si="1"/>
        <v>15.2</v>
      </c>
    </row>
    <row r="33" spans="1:16" x14ac:dyDescent="0.25">
      <c r="A33" s="3">
        <v>18</v>
      </c>
      <c r="B33" s="3" t="s">
        <v>47</v>
      </c>
      <c r="C33" s="3" t="s">
        <v>106</v>
      </c>
      <c r="D33" s="3">
        <v>10</v>
      </c>
      <c r="E33" s="3">
        <v>18</v>
      </c>
      <c r="F33" s="3">
        <v>19</v>
      </c>
      <c r="G33" s="3">
        <f t="shared" si="0"/>
        <v>28.2</v>
      </c>
      <c r="H33" s="3">
        <v>23</v>
      </c>
      <c r="I33" s="3">
        <f>H33+G33</f>
        <v>51.2</v>
      </c>
      <c r="J33" s="3">
        <v>27.5</v>
      </c>
      <c r="K33" s="3">
        <f>I33+J33</f>
        <v>78.7</v>
      </c>
      <c r="L33" s="30">
        <f t="shared" si="1"/>
        <v>15.7</v>
      </c>
    </row>
    <row r="34" spans="1:16" ht="16.5" customHeight="1" x14ac:dyDescent="0.25">
      <c r="A34" s="3">
        <v>19</v>
      </c>
      <c r="B34" s="3" t="s">
        <v>48</v>
      </c>
      <c r="C34" s="3" t="s">
        <v>107</v>
      </c>
      <c r="D34" s="3">
        <v>10</v>
      </c>
      <c r="E34" s="3">
        <v>10</v>
      </c>
      <c r="F34" s="3">
        <v>19</v>
      </c>
      <c r="G34" s="3">
        <f t="shared" si="0"/>
        <v>23.4</v>
      </c>
      <c r="H34" s="3">
        <v>17</v>
      </c>
      <c r="I34" s="3">
        <f>H34+G34</f>
        <v>40.4</v>
      </c>
      <c r="J34" s="3">
        <v>32</v>
      </c>
      <c r="K34" s="3">
        <f>I34+J34</f>
        <v>72.400000000000006</v>
      </c>
      <c r="L34" s="30">
        <f t="shared" si="1"/>
        <v>14.5</v>
      </c>
    </row>
    <row r="35" spans="1:16" x14ac:dyDescent="0.25">
      <c r="A35" s="3">
        <v>20</v>
      </c>
      <c r="B35" s="3" t="s">
        <v>49</v>
      </c>
      <c r="C35" s="3" t="s">
        <v>108</v>
      </c>
      <c r="D35" s="3">
        <v>5</v>
      </c>
      <c r="E35" s="3">
        <v>18</v>
      </c>
      <c r="F35" s="3">
        <v>19</v>
      </c>
      <c r="G35" s="3">
        <f t="shared" si="0"/>
        <v>25.2</v>
      </c>
      <c r="H35" s="3">
        <v>23</v>
      </c>
      <c r="I35" s="3">
        <f>H35+G35</f>
        <v>48.2</v>
      </c>
      <c r="J35" s="3">
        <v>34</v>
      </c>
      <c r="K35" s="3">
        <f>I35+J35</f>
        <v>82.2</v>
      </c>
      <c r="L35" s="30">
        <f t="shared" si="1"/>
        <v>16.399999999999999</v>
      </c>
    </row>
    <row r="36" spans="1:16" x14ac:dyDescent="0.25">
      <c r="A36" s="3">
        <v>21</v>
      </c>
      <c r="B36" s="3" t="s">
        <v>50</v>
      </c>
      <c r="C36" s="3" t="s">
        <v>109</v>
      </c>
      <c r="D36" s="3">
        <v>10</v>
      </c>
      <c r="E36" s="3">
        <v>19</v>
      </c>
      <c r="F36" s="3">
        <v>19</v>
      </c>
      <c r="G36" s="3">
        <f t="shared" si="0"/>
        <v>28.8</v>
      </c>
      <c r="H36" s="3">
        <v>12</v>
      </c>
      <c r="I36" s="3">
        <f>H36+G36</f>
        <v>40.799999999999997</v>
      </c>
      <c r="J36" s="3">
        <v>31</v>
      </c>
      <c r="K36" s="3">
        <f>I36+J36</f>
        <v>71.8</v>
      </c>
      <c r="L36" s="30">
        <f t="shared" si="1"/>
        <v>14.4</v>
      </c>
    </row>
    <row r="37" spans="1:16" x14ac:dyDescent="0.25">
      <c r="A37" s="3">
        <v>22</v>
      </c>
      <c r="B37" s="3" t="s">
        <v>51</v>
      </c>
      <c r="C37" s="3" t="s">
        <v>110</v>
      </c>
      <c r="D37" s="3">
        <v>10</v>
      </c>
      <c r="E37" s="3">
        <v>17</v>
      </c>
      <c r="F37" s="3">
        <v>17</v>
      </c>
      <c r="G37" s="3">
        <f t="shared" si="0"/>
        <v>26.4</v>
      </c>
      <c r="H37" s="3">
        <v>18</v>
      </c>
      <c r="I37" s="3">
        <f>H37+G37</f>
        <v>44.4</v>
      </c>
      <c r="J37" s="3">
        <v>34</v>
      </c>
      <c r="K37" s="3">
        <f>I37+J37</f>
        <v>78.400000000000006</v>
      </c>
      <c r="L37" s="30">
        <f t="shared" si="1"/>
        <v>15.7</v>
      </c>
    </row>
    <row r="38" spans="1:16" x14ac:dyDescent="0.25">
      <c r="A38" s="3">
        <v>23</v>
      </c>
      <c r="B38" s="3" t="s">
        <v>52</v>
      </c>
      <c r="C38" s="3" t="s">
        <v>111</v>
      </c>
      <c r="D38" s="3">
        <v>10</v>
      </c>
      <c r="E38" s="3">
        <v>18</v>
      </c>
      <c r="F38" s="3">
        <v>19</v>
      </c>
      <c r="G38" s="3">
        <f t="shared" si="0"/>
        <v>28.2</v>
      </c>
      <c r="H38" s="3">
        <v>17</v>
      </c>
      <c r="I38" s="3">
        <f>H38+G38</f>
        <v>45.2</v>
      </c>
      <c r="J38" s="3">
        <v>21.5</v>
      </c>
      <c r="K38" s="3">
        <f>I38+J38</f>
        <v>66.7</v>
      </c>
      <c r="L38" s="30">
        <f t="shared" si="1"/>
        <v>13.3</v>
      </c>
    </row>
    <row r="39" spans="1:16" x14ac:dyDescent="0.25">
      <c r="A39" s="3">
        <v>24</v>
      </c>
      <c r="B39" s="3" t="s">
        <v>53</v>
      </c>
      <c r="C39" s="3" t="s">
        <v>112</v>
      </c>
      <c r="D39" s="3">
        <v>10</v>
      </c>
      <c r="E39" s="3">
        <v>19</v>
      </c>
      <c r="F39" s="3">
        <v>19</v>
      </c>
      <c r="G39" s="3">
        <f t="shared" si="0"/>
        <v>28.8</v>
      </c>
      <c r="H39" s="3">
        <v>27</v>
      </c>
      <c r="I39" s="3">
        <f>H39+G39</f>
        <v>55.8</v>
      </c>
      <c r="J39" s="3">
        <v>35</v>
      </c>
      <c r="K39" s="3">
        <f>I39+J39</f>
        <v>90.8</v>
      </c>
      <c r="L39" s="30">
        <f t="shared" si="1"/>
        <v>18.2</v>
      </c>
    </row>
    <row r="40" spans="1:16" x14ac:dyDescent="0.25">
      <c r="A40" s="3">
        <v>25</v>
      </c>
      <c r="B40" s="3" t="s">
        <v>54</v>
      </c>
      <c r="C40" s="3" t="s">
        <v>113</v>
      </c>
      <c r="D40" s="3">
        <v>10</v>
      </c>
      <c r="E40" s="3">
        <v>10</v>
      </c>
      <c r="F40" s="3">
        <v>19</v>
      </c>
      <c r="G40" s="3">
        <f t="shared" si="0"/>
        <v>23.4</v>
      </c>
      <c r="H40" s="3">
        <v>23</v>
      </c>
      <c r="I40" s="3">
        <f>H40+G40</f>
        <v>46.4</v>
      </c>
      <c r="J40" s="3">
        <v>34.5</v>
      </c>
      <c r="K40" s="3">
        <f>I40+J40</f>
        <v>80.900000000000006</v>
      </c>
      <c r="L40" s="30">
        <f t="shared" si="1"/>
        <v>16.2</v>
      </c>
    </row>
    <row r="41" spans="1:16" x14ac:dyDescent="0.25">
      <c r="A41" s="3">
        <v>26</v>
      </c>
      <c r="B41" s="3" t="s">
        <v>55</v>
      </c>
      <c r="C41" s="3" t="s">
        <v>114</v>
      </c>
      <c r="D41" s="3">
        <v>10</v>
      </c>
      <c r="E41" s="3">
        <v>19</v>
      </c>
      <c r="F41" s="3">
        <v>19</v>
      </c>
      <c r="G41" s="3">
        <f t="shared" si="0"/>
        <v>28.8</v>
      </c>
      <c r="H41" s="3">
        <v>18</v>
      </c>
      <c r="I41" s="3">
        <f>H41+G41</f>
        <v>46.8</v>
      </c>
      <c r="J41" s="3">
        <v>36</v>
      </c>
      <c r="K41" s="3">
        <f>I41+J41</f>
        <v>82.8</v>
      </c>
      <c r="L41" s="30">
        <f t="shared" si="1"/>
        <v>16.600000000000001</v>
      </c>
    </row>
    <row r="42" spans="1:16" x14ac:dyDescent="0.25">
      <c r="A42" s="3">
        <v>27</v>
      </c>
      <c r="B42" s="3" t="s">
        <v>56</v>
      </c>
      <c r="C42" s="3" t="s">
        <v>115</v>
      </c>
      <c r="D42" s="3">
        <v>10</v>
      </c>
      <c r="E42" s="3">
        <v>17</v>
      </c>
      <c r="F42" s="3">
        <v>17</v>
      </c>
      <c r="G42" s="3">
        <f t="shared" si="0"/>
        <v>26.4</v>
      </c>
      <c r="H42" s="3">
        <v>25</v>
      </c>
      <c r="I42" s="3">
        <f>H42+G42</f>
        <v>51.4</v>
      </c>
      <c r="J42" s="3">
        <v>36</v>
      </c>
      <c r="K42" s="3">
        <f>I42+J42</f>
        <v>87.4</v>
      </c>
      <c r="L42" s="30">
        <f t="shared" si="1"/>
        <v>17.5</v>
      </c>
    </row>
    <row r="43" spans="1:16" x14ac:dyDescent="0.25">
      <c r="A43" s="3">
        <v>28</v>
      </c>
      <c r="B43" s="3" t="s">
        <v>57</v>
      </c>
      <c r="C43" s="3" t="s">
        <v>116</v>
      </c>
      <c r="D43" s="3">
        <v>10</v>
      </c>
      <c r="E43" s="3">
        <v>18</v>
      </c>
      <c r="F43" s="3">
        <v>19</v>
      </c>
      <c r="G43" s="3">
        <f t="shared" si="0"/>
        <v>28.2</v>
      </c>
      <c r="H43" s="3">
        <v>26</v>
      </c>
      <c r="I43" s="3">
        <f>H43+G43</f>
        <v>54.2</v>
      </c>
      <c r="J43" s="3">
        <v>35.5</v>
      </c>
      <c r="K43" s="3">
        <f>I43+J43</f>
        <v>89.7</v>
      </c>
      <c r="L43" s="30">
        <f t="shared" si="1"/>
        <v>17.899999999999999</v>
      </c>
    </row>
    <row r="44" spans="1:16" x14ac:dyDescent="0.25">
      <c r="A44" s="3">
        <v>29</v>
      </c>
      <c r="B44" s="3" t="s">
        <v>58</v>
      </c>
      <c r="C44" s="3" t="s">
        <v>117</v>
      </c>
      <c r="D44" s="3">
        <v>10</v>
      </c>
      <c r="E44" s="3">
        <v>18</v>
      </c>
      <c r="F44" s="3">
        <v>19</v>
      </c>
      <c r="G44" s="3">
        <f t="shared" si="0"/>
        <v>28.2</v>
      </c>
      <c r="H44" s="3">
        <v>18</v>
      </c>
      <c r="I44" s="3">
        <f>H44+G44</f>
        <v>46.2</v>
      </c>
      <c r="J44" s="3">
        <v>26</v>
      </c>
      <c r="K44" s="3">
        <f>I44+J44</f>
        <v>72.2</v>
      </c>
      <c r="L44" s="30">
        <f t="shared" si="1"/>
        <v>14.4</v>
      </c>
    </row>
    <row r="45" spans="1:16" x14ac:dyDescent="0.25">
      <c r="A45" s="3">
        <v>30</v>
      </c>
      <c r="B45" s="3" t="s">
        <v>59</v>
      </c>
      <c r="C45" s="3" t="s">
        <v>118</v>
      </c>
      <c r="D45" s="3">
        <v>10</v>
      </c>
      <c r="E45" s="3">
        <v>18</v>
      </c>
      <c r="F45" s="3">
        <v>19</v>
      </c>
      <c r="G45" s="3">
        <f t="shared" si="0"/>
        <v>28.2</v>
      </c>
      <c r="H45" s="3">
        <v>27</v>
      </c>
      <c r="I45" s="3">
        <f>H45+G45</f>
        <v>55.2</v>
      </c>
      <c r="J45" s="3">
        <v>39</v>
      </c>
      <c r="K45" s="3">
        <f>I45+J45</f>
        <v>94.2</v>
      </c>
      <c r="L45" s="30">
        <f t="shared" si="1"/>
        <v>18.8</v>
      </c>
    </row>
    <row r="46" spans="1:16" x14ac:dyDescent="0.25">
      <c r="A46" s="3">
        <v>31</v>
      </c>
      <c r="B46" s="3" t="s">
        <v>60</v>
      </c>
      <c r="C46" s="3" t="s">
        <v>119</v>
      </c>
      <c r="D46" s="3">
        <v>5</v>
      </c>
      <c r="E46" s="3">
        <v>17</v>
      </c>
      <c r="F46" s="3">
        <v>17</v>
      </c>
      <c r="G46" s="3">
        <f t="shared" si="0"/>
        <v>23.4</v>
      </c>
      <c r="H46" s="3">
        <v>22</v>
      </c>
      <c r="I46" s="3">
        <f>H46+G46</f>
        <v>45.4</v>
      </c>
      <c r="J46" s="3">
        <v>23</v>
      </c>
      <c r="K46" s="3">
        <f>I46+J46</f>
        <v>68.400000000000006</v>
      </c>
      <c r="L46" s="30">
        <f t="shared" si="1"/>
        <v>13.7</v>
      </c>
    </row>
    <row r="47" spans="1:16" x14ac:dyDescent="0.25">
      <c r="A47" s="3">
        <v>32</v>
      </c>
      <c r="B47" s="3" t="s">
        <v>61</v>
      </c>
      <c r="C47" s="3" t="s">
        <v>120</v>
      </c>
      <c r="D47" s="3">
        <v>10</v>
      </c>
      <c r="E47" s="3">
        <v>19</v>
      </c>
      <c r="F47" s="3">
        <v>19</v>
      </c>
      <c r="G47" s="3">
        <f t="shared" si="0"/>
        <v>28.8</v>
      </c>
      <c r="H47" s="3">
        <v>22</v>
      </c>
      <c r="I47" s="3">
        <f>H47+G47</f>
        <v>50.8</v>
      </c>
      <c r="J47" s="3">
        <v>27.5</v>
      </c>
      <c r="K47" s="3">
        <f>I47+J47</f>
        <v>78.3</v>
      </c>
      <c r="L47" s="30">
        <f t="shared" si="1"/>
        <v>15.7</v>
      </c>
    </row>
    <row r="48" spans="1:16" s="7" customFormat="1" x14ac:dyDescent="0.25">
      <c r="A48" s="3">
        <v>33</v>
      </c>
      <c r="B48" s="3" t="s">
        <v>62</v>
      </c>
      <c r="C48" s="3" t="s">
        <v>121</v>
      </c>
      <c r="D48" s="3">
        <v>5</v>
      </c>
      <c r="E48" s="3">
        <v>18</v>
      </c>
      <c r="F48" s="3">
        <v>10</v>
      </c>
      <c r="G48" s="3">
        <f t="shared" si="0"/>
        <v>19.8</v>
      </c>
      <c r="H48" s="3">
        <v>20</v>
      </c>
      <c r="I48" s="3">
        <f>H48+G48</f>
        <v>39.799999999999997</v>
      </c>
      <c r="J48" s="3">
        <v>33.5</v>
      </c>
      <c r="K48" s="3">
        <f>I48+J48</f>
        <v>73.3</v>
      </c>
      <c r="L48" s="30">
        <f t="shared" si="1"/>
        <v>14.7</v>
      </c>
      <c r="M48"/>
      <c r="N48"/>
      <c r="O48"/>
      <c r="P48"/>
    </row>
    <row r="49" spans="1:19" s="7" customFormat="1" x14ac:dyDescent="0.25">
      <c r="A49" s="3">
        <v>34</v>
      </c>
      <c r="B49" s="3" t="s">
        <v>63</v>
      </c>
      <c r="C49" s="3" t="s">
        <v>122</v>
      </c>
      <c r="D49" s="3">
        <v>10</v>
      </c>
      <c r="E49" s="3">
        <v>10</v>
      </c>
      <c r="F49" s="3">
        <v>19</v>
      </c>
      <c r="G49" s="3">
        <f t="shared" si="0"/>
        <v>23.4</v>
      </c>
      <c r="H49" s="3">
        <v>22</v>
      </c>
      <c r="I49" s="3">
        <f>H49+G49</f>
        <v>45.4</v>
      </c>
      <c r="J49" s="3">
        <v>26</v>
      </c>
      <c r="K49" s="3">
        <f>I49+J49</f>
        <v>71.400000000000006</v>
      </c>
      <c r="L49" s="30">
        <f t="shared" si="1"/>
        <v>14.3</v>
      </c>
      <c r="M49"/>
      <c r="N49"/>
    </row>
    <row r="50" spans="1:19" s="7" customFormat="1" x14ac:dyDescent="0.25">
      <c r="A50" s="3">
        <v>35</v>
      </c>
      <c r="B50" s="3" t="s">
        <v>64</v>
      </c>
      <c r="C50" s="3" t="s">
        <v>123</v>
      </c>
      <c r="D50" s="3">
        <v>10</v>
      </c>
      <c r="E50" s="3">
        <v>18</v>
      </c>
      <c r="F50" s="3">
        <v>19</v>
      </c>
      <c r="G50" s="3">
        <f t="shared" si="0"/>
        <v>28.2</v>
      </c>
      <c r="H50" s="3">
        <v>21</v>
      </c>
      <c r="I50" s="3">
        <f>H50+G50</f>
        <v>49.2</v>
      </c>
      <c r="J50" s="3">
        <v>36.5</v>
      </c>
      <c r="K50" s="3">
        <f>I50+J50</f>
        <v>85.7</v>
      </c>
      <c r="L50" s="30">
        <f t="shared" si="1"/>
        <v>17.100000000000001</v>
      </c>
      <c r="M50"/>
      <c r="N50"/>
    </row>
    <row r="51" spans="1:19" s="7" customFormat="1" x14ac:dyDescent="0.25">
      <c r="A51" s="3">
        <v>36</v>
      </c>
      <c r="B51" s="3" t="s">
        <v>65</v>
      </c>
      <c r="C51" s="3" t="s">
        <v>124</v>
      </c>
      <c r="D51" s="3">
        <v>10</v>
      </c>
      <c r="E51" s="3">
        <v>18</v>
      </c>
      <c r="F51" s="3">
        <v>17</v>
      </c>
      <c r="G51" s="3">
        <f t="shared" si="0"/>
        <v>27</v>
      </c>
      <c r="H51" s="3">
        <v>14</v>
      </c>
      <c r="I51" s="3">
        <f>H51+G51</f>
        <v>41</v>
      </c>
      <c r="J51" s="3">
        <v>21</v>
      </c>
      <c r="K51" s="3">
        <f>I51+J51</f>
        <v>62</v>
      </c>
      <c r="L51" s="30">
        <f t="shared" si="1"/>
        <v>12.4</v>
      </c>
      <c r="M51"/>
      <c r="N51"/>
    </row>
    <row r="52" spans="1:19" s="7" customFormat="1" x14ac:dyDescent="0.25">
      <c r="A52" s="3">
        <v>37</v>
      </c>
      <c r="B52" s="3" t="s">
        <v>66</v>
      </c>
      <c r="C52" s="3" t="s">
        <v>125</v>
      </c>
      <c r="D52" s="3">
        <v>10</v>
      </c>
      <c r="E52" s="3">
        <v>18</v>
      </c>
      <c r="F52" s="3">
        <v>17</v>
      </c>
      <c r="G52" s="3">
        <f t="shared" si="0"/>
        <v>27</v>
      </c>
      <c r="H52" s="3">
        <v>29</v>
      </c>
      <c r="I52" s="3">
        <f>H52+G52</f>
        <v>56</v>
      </c>
      <c r="J52" s="3">
        <v>33</v>
      </c>
      <c r="K52" s="3">
        <f>I52+J52</f>
        <v>89</v>
      </c>
      <c r="L52" s="30">
        <f t="shared" si="1"/>
        <v>17.8</v>
      </c>
      <c r="M52"/>
      <c r="N52"/>
    </row>
    <row r="53" spans="1:19" s="7" customFormat="1" x14ac:dyDescent="0.25">
      <c r="A53" s="3">
        <v>38</v>
      </c>
      <c r="B53" s="3" t="s">
        <v>67</v>
      </c>
      <c r="C53" s="3" t="s">
        <v>126</v>
      </c>
      <c r="D53" s="3">
        <v>10</v>
      </c>
      <c r="E53" s="3">
        <v>18</v>
      </c>
      <c r="F53" s="3">
        <v>17</v>
      </c>
      <c r="G53" s="3">
        <f t="shared" si="0"/>
        <v>27</v>
      </c>
      <c r="H53" s="3">
        <v>26</v>
      </c>
      <c r="I53" s="3">
        <f>H53+G53</f>
        <v>53</v>
      </c>
      <c r="J53" s="3">
        <v>31</v>
      </c>
      <c r="K53" s="3">
        <f>I53+J53</f>
        <v>84</v>
      </c>
      <c r="L53" s="30">
        <f t="shared" si="1"/>
        <v>16.8</v>
      </c>
      <c r="M53"/>
      <c r="N53"/>
    </row>
    <row r="54" spans="1:19" s="7" customFormat="1" x14ac:dyDescent="0.25">
      <c r="A54" s="3">
        <v>39</v>
      </c>
      <c r="B54" s="3" t="s">
        <v>68</v>
      </c>
      <c r="C54" s="3" t="s">
        <v>127</v>
      </c>
      <c r="D54" s="3">
        <v>10</v>
      </c>
      <c r="E54" s="3">
        <v>18</v>
      </c>
      <c r="F54" s="3">
        <v>19</v>
      </c>
      <c r="G54" s="3">
        <f t="shared" si="0"/>
        <v>28.2</v>
      </c>
      <c r="H54" s="3">
        <v>15</v>
      </c>
      <c r="I54" s="3">
        <f>H54+G54</f>
        <v>43.2</v>
      </c>
      <c r="J54" s="3">
        <v>32.5</v>
      </c>
      <c r="K54" s="3">
        <f>I54+J54</f>
        <v>75.7</v>
      </c>
      <c r="L54" s="30">
        <f t="shared" si="1"/>
        <v>15.1</v>
      </c>
      <c r="M54"/>
      <c r="N54"/>
    </row>
    <row r="55" spans="1:19" s="7" customFormat="1" x14ac:dyDescent="0.25">
      <c r="A55" s="3">
        <v>40</v>
      </c>
      <c r="B55" s="3" t="s">
        <v>69</v>
      </c>
      <c r="C55" s="3" t="s">
        <v>128</v>
      </c>
      <c r="D55" s="3">
        <v>10</v>
      </c>
      <c r="E55" s="3">
        <v>18</v>
      </c>
      <c r="F55" s="3">
        <v>17</v>
      </c>
      <c r="G55" s="3">
        <f t="shared" si="0"/>
        <v>27</v>
      </c>
      <c r="H55" s="3">
        <v>20</v>
      </c>
      <c r="I55" s="3">
        <f>H55+G55</f>
        <v>47</v>
      </c>
      <c r="J55" s="3">
        <v>35</v>
      </c>
      <c r="K55" s="3">
        <f>I55+J55</f>
        <v>82</v>
      </c>
      <c r="L55" s="30">
        <f t="shared" si="1"/>
        <v>16.399999999999999</v>
      </c>
      <c r="M55"/>
      <c r="N55"/>
    </row>
    <row r="56" spans="1:19" s="7" customFormat="1" x14ac:dyDescent="0.25">
      <c r="A56" s="3">
        <v>41</v>
      </c>
      <c r="B56" s="3" t="s">
        <v>70</v>
      </c>
      <c r="C56" s="3" t="s">
        <v>129</v>
      </c>
      <c r="D56" s="3">
        <v>10</v>
      </c>
      <c r="E56" s="3">
        <v>19</v>
      </c>
      <c r="F56" s="3">
        <v>19</v>
      </c>
      <c r="G56" s="3">
        <f t="shared" si="0"/>
        <v>28.8</v>
      </c>
      <c r="H56" s="3">
        <v>22</v>
      </c>
      <c r="I56" s="3">
        <f>H56+G56</f>
        <v>50.8</v>
      </c>
      <c r="J56" s="3">
        <v>27.5</v>
      </c>
      <c r="K56" s="3">
        <f>I56+J56</f>
        <v>78.3</v>
      </c>
      <c r="L56" s="30">
        <f t="shared" si="1"/>
        <v>15.7</v>
      </c>
      <c r="M56"/>
      <c r="N56"/>
      <c r="O56"/>
      <c r="P56"/>
    </row>
    <row r="57" spans="1:19" s="7" customFormat="1" x14ac:dyDescent="0.25">
      <c r="A57" s="3">
        <v>42</v>
      </c>
      <c r="B57" s="3" t="s">
        <v>71</v>
      </c>
      <c r="C57" s="3" t="s">
        <v>130</v>
      </c>
      <c r="D57" s="3">
        <v>10</v>
      </c>
      <c r="E57" s="3">
        <v>19</v>
      </c>
      <c r="F57" s="3">
        <v>19</v>
      </c>
      <c r="G57" s="3">
        <f t="shared" si="0"/>
        <v>28.8</v>
      </c>
      <c r="H57" s="3">
        <v>24</v>
      </c>
      <c r="I57" s="3">
        <f>H57+G57</f>
        <v>52.8</v>
      </c>
      <c r="J57" s="3">
        <v>34.5</v>
      </c>
      <c r="K57" s="3">
        <f>I57+J57</f>
        <v>87.3</v>
      </c>
      <c r="L57" s="30">
        <f t="shared" si="1"/>
        <v>17.5</v>
      </c>
      <c r="M57"/>
      <c r="N57"/>
    </row>
    <row r="58" spans="1:19" s="7" customFormat="1" x14ac:dyDescent="0.25">
      <c r="A58" s="3">
        <v>43</v>
      </c>
      <c r="B58" s="3" t="s">
        <v>72</v>
      </c>
      <c r="C58" s="3" t="s">
        <v>131</v>
      </c>
      <c r="D58" s="3">
        <v>10</v>
      </c>
      <c r="E58" s="3">
        <v>19</v>
      </c>
      <c r="F58" s="3">
        <v>19</v>
      </c>
      <c r="G58" s="3">
        <f t="shared" si="0"/>
        <v>28.8</v>
      </c>
      <c r="H58" s="3">
        <v>16</v>
      </c>
      <c r="I58" s="3">
        <f>H58+G58</f>
        <v>44.8</v>
      </c>
      <c r="J58" s="3">
        <v>32.5</v>
      </c>
      <c r="K58" s="3">
        <f>I58+J58</f>
        <v>77.3</v>
      </c>
      <c r="L58" s="30">
        <f t="shared" si="1"/>
        <v>15.5</v>
      </c>
      <c r="M58"/>
      <c r="N58"/>
      <c r="O58"/>
      <c r="P58"/>
      <c r="Q58"/>
      <c r="R58"/>
      <c r="S58"/>
    </row>
    <row r="59" spans="1:19" s="7" customFormat="1" x14ac:dyDescent="0.25">
      <c r="A59" s="3">
        <v>44</v>
      </c>
      <c r="B59" s="3" t="s">
        <v>73</v>
      </c>
      <c r="C59" s="3" t="s">
        <v>132</v>
      </c>
      <c r="D59" s="3">
        <v>10</v>
      </c>
      <c r="E59" s="3">
        <v>18</v>
      </c>
      <c r="F59" s="3">
        <v>17</v>
      </c>
      <c r="G59" s="3">
        <f t="shared" si="0"/>
        <v>27</v>
      </c>
      <c r="H59" s="3">
        <v>18</v>
      </c>
      <c r="I59" s="3">
        <f>H59+G59</f>
        <v>45</v>
      </c>
      <c r="J59" s="3">
        <v>31</v>
      </c>
      <c r="K59" s="3">
        <f>I59+J59</f>
        <v>76</v>
      </c>
      <c r="L59" s="30">
        <f t="shared" si="1"/>
        <v>15.2</v>
      </c>
      <c r="M59"/>
      <c r="N59"/>
      <c r="O59"/>
      <c r="P59"/>
      <c r="Q59"/>
      <c r="R59"/>
      <c r="S59"/>
    </row>
    <row r="60" spans="1:19" s="7" customFormat="1" x14ac:dyDescent="0.25">
      <c r="A60" s="3">
        <v>45</v>
      </c>
      <c r="B60" s="3" t="s">
        <v>74</v>
      </c>
      <c r="C60" s="3" t="s">
        <v>133</v>
      </c>
      <c r="D60" s="3">
        <v>10</v>
      </c>
      <c r="E60" s="3">
        <v>18</v>
      </c>
      <c r="F60" s="3">
        <v>17</v>
      </c>
      <c r="G60" s="3">
        <f t="shared" si="0"/>
        <v>27</v>
      </c>
      <c r="H60" s="3">
        <v>15</v>
      </c>
      <c r="I60" s="3">
        <f>H60+G60</f>
        <v>42</v>
      </c>
      <c r="J60" s="3">
        <v>19.5</v>
      </c>
      <c r="K60" s="3">
        <f>I60+J60</f>
        <v>61.5</v>
      </c>
      <c r="L60" s="30">
        <f t="shared" si="1"/>
        <v>12.3</v>
      </c>
      <c r="M60"/>
      <c r="N60"/>
      <c r="O60"/>
      <c r="P60"/>
      <c r="Q60"/>
      <c r="R60"/>
      <c r="S60"/>
    </row>
    <row r="61" spans="1:19" s="7" customFormat="1" x14ac:dyDescent="0.25">
      <c r="A61" s="3">
        <v>46</v>
      </c>
      <c r="B61" s="3" t="s">
        <v>75</v>
      </c>
      <c r="C61" s="3" t="s">
        <v>134</v>
      </c>
      <c r="D61" s="3">
        <v>10</v>
      </c>
      <c r="E61" s="3">
        <v>18</v>
      </c>
      <c r="F61" s="3">
        <v>19</v>
      </c>
      <c r="G61" s="3">
        <f t="shared" si="0"/>
        <v>28.2</v>
      </c>
      <c r="H61" s="3">
        <v>21</v>
      </c>
      <c r="I61" s="3">
        <f>H61+G61</f>
        <v>49.2</v>
      </c>
      <c r="J61" s="3">
        <v>29.5</v>
      </c>
      <c r="K61" s="3">
        <f>I61+J61</f>
        <v>78.7</v>
      </c>
      <c r="L61" s="30">
        <f t="shared" si="1"/>
        <v>15.7</v>
      </c>
      <c r="M61"/>
      <c r="N61"/>
      <c r="O61"/>
      <c r="P61"/>
      <c r="Q61"/>
      <c r="R61"/>
      <c r="S61"/>
    </row>
    <row r="62" spans="1:19" s="7" customFormat="1" x14ac:dyDescent="0.25">
      <c r="A62" s="3">
        <v>47</v>
      </c>
      <c r="B62" s="3" t="s">
        <v>76</v>
      </c>
      <c r="C62" s="3" t="s">
        <v>135</v>
      </c>
      <c r="D62" s="3">
        <v>10</v>
      </c>
      <c r="E62" s="3">
        <v>18</v>
      </c>
      <c r="F62" s="3">
        <v>17</v>
      </c>
      <c r="G62" s="3">
        <f t="shared" si="0"/>
        <v>27</v>
      </c>
      <c r="H62" s="3">
        <v>18</v>
      </c>
      <c r="I62" s="3">
        <f>H62+G62</f>
        <v>45</v>
      </c>
      <c r="J62" s="3">
        <v>35</v>
      </c>
      <c r="K62" s="3">
        <f>I62+J62</f>
        <v>80</v>
      </c>
      <c r="L62" s="30">
        <f t="shared" si="1"/>
        <v>16</v>
      </c>
      <c r="M62"/>
      <c r="N62"/>
      <c r="O62"/>
      <c r="P62"/>
      <c r="Q62"/>
      <c r="R62"/>
      <c r="S62"/>
    </row>
    <row r="63" spans="1:19" s="7" customFormat="1" x14ac:dyDescent="0.25">
      <c r="A63" s="3">
        <v>48</v>
      </c>
      <c r="B63" s="3" t="s">
        <v>77</v>
      </c>
      <c r="C63" s="3" t="s">
        <v>136</v>
      </c>
      <c r="D63" s="3">
        <v>10</v>
      </c>
      <c r="E63" s="3">
        <v>18</v>
      </c>
      <c r="F63" s="3">
        <v>19</v>
      </c>
      <c r="G63" s="3">
        <f t="shared" si="0"/>
        <v>28.2</v>
      </c>
      <c r="H63" s="3">
        <v>20</v>
      </c>
      <c r="I63" s="3">
        <f>H63+G63</f>
        <v>48.2</v>
      </c>
      <c r="J63" s="3">
        <v>36.5</v>
      </c>
      <c r="K63" s="3">
        <f>I63+J63</f>
        <v>84.7</v>
      </c>
      <c r="L63" s="30">
        <f t="shared" si="1"/>
        <v>16.899999999999999</v>
      </c>
      <c r="M63"/>
      <c r="N63"/>
      <c r="O63"/>
      <c r="P63"/>
      <c r="Q63"/>
      <c r="R63"/>
      <c r="S63"/>
    </row>
    <row r="64" spans="1:19" s="7" customFormat="1" x14ac:dyDescent="0.25">
      <c r="A64" s="3">
        <v>49</v>
      </c>
      <c r="B64" s="3" t="s">
        <v>78</v>
      </c>
      <c r="C64" s="3" t="s">
        <v>137</v>
      </c>
      <c r="D64" s="3">
        <v>10</v>
      </c>
      <c r="E64" s="3">
        <v>18</v>
      </c>
      <c r="F64" s="3">
        <v>19</v>
      </c>
      <c r="G64" s="3">
        <f t="shared" si="0"/>
        <v>28.2</v>
      </c>
      <c r="H64" s="3">
        <v>29</v>
      </c>
      <c r="I64" s="3">
        <f>H64+G64</f>
        <v>57.2</v>
      </c>
      <c r="J64" s="3">
        <v>30.5</v>
      </c>
      <c r="K64" s="3">
        <f>I64+J64</f>
        <v>87.7</v>
      </c>
      <c r="L64" s="30">
        <f t="shared" si="1"/>
        <v>17.5</v>
      </c>
      <c r="M64"/>
      <c r="N64"/>
      <c r="O64"/>
      <c r="P64"/>
      <c r="Q64"/>
      <c r="R64"/>
      <c r="S64"/>
    </row>
    <row r="65" spans="1:19" s="7" customFormat="1" x14ac:dyDescent="0.25">
      <c r="A65" s="3">
        <v>50</v>
      </c>
      <c r="B65" s="3" t="s">
        <v>79</v>
      </c>
      <c r="C65" s="3" t="s">
        <v>138</v>
      </c>
      <c r="D65" s="3">
        <v>5</v>
      </c>
      <c r="E65" s="3">
        <v>19</v>
      </c>
      <c r="F65" s="3">
        <v>19</v>
      </c>
      <c r="G65" s="3">
        <f t="shared" si="0"/>
        <v>25.8</v>
      </c>
      <c r="H65" s="3">
        <v>20</v>
      </c>
      <c r="I65" s="3">
        <f>H65+G65</f>
        <v>45.8</v>
      </c>
      <c r="J65" s="3">
        <v>30.5</v>
      </c>
      <c r="K65" s="3">
        <f>I65+J65</f>
        <v>76.3</v>
      </c>
      <c r="L65" s="30">
        <f t="shared" si="1"/>
        <v>15.3</v>
      </c>
      <c r="M65"/>
      <c r="N65"/>
      <c r="O65"/>
      <c r="P65"/>
      <c r="Q65"/>
      <c r="R65"/>
      <c r="S65"/>
    </row>
    <row r="66" spans="1:19" s="7" customFormat="1" x14ac:dyDescent="0.25">
      <c r="A66" s="3">
        <v>51</v>
      </c>
      <c r="B66" s="3" t="s">
        <v>80</v>
      </c>
      <c r="C66" s="3" t="s">
        <v>139</v>
      </c>
      <c r="D66" s="3">
        <v>10</v>
      </c>
      <c r="E66" s="3">
        <v>18</v>
      </c>
      <c r="F66" s="3">
        <v>19</v>
      </c>
      <c r="G66" s="3">
        <f t="shared" si="0"/>
        <v>28.2</v>
      </c>
      <c r="H66" s="3">
        <v>15</v>
      </c>
      <c r="I66" s="3">
        <f>H66+G66</f>
        <v>43.2</v>
      </c>
      <c r="J66" s="3">
        <v>32.5</v>
      </c>
      <c r="K66" s="3">
        <f>I66+J66</f>
        <v>75.7</v>
      </c>
      <c r="L66" s="30">
        <f t="shared" si="1"/>
        <v>15.1</v>
      </c>
      <c r="M66"/>
      <c r="N66"/>
      <c r="O66"/>
      <c r="P66"/>
      <c r="Q66"/>
      <c r="R66"/>
      <c r="S66"/>
    </row>
    <row r="67" spans="1:19" s="7" customFormat="1" x14ac:dyDescent="0.25">
      <c r="A67" s="3">
        <v>52</v>
      </c>
      <c r="B67" s="3" t="s">
        <v>81</v>
      </c>
      <c r="C67" s="3" t="s">
        <v>140</v>
      </c>
      <c r="D67" s="3">
        <v>10</v>
      </c>
      <c r="E67" s="3">
        <v>18</v>
      </c>
      <c r="F67" s="3">
        <v>19</v>
      </c>
      <c r="G67" s="3">
        <f t="shared" si="0"/>
        <v>28.2</v>
      </c>
      <c r="H67" s="3">
        <v>21</v>
      </c>
      <c r="I67" s="3">
        <f>H67+G67</f>
        <v>49.2</v>
      </c>
      <c r="J67" s="3">
        <v>34.5</v>
      </c>
      <c r="K67" s="3">
        <f>I67+J67</f>
        <v>83.7</v>
      </c>
      <c r="L67" s="30">
        <f t="shared" si="1"/>
        <v>16.7</v>
      </c>
      <c r="M67"/>
      <c r="N67"/>
      <c r="O67"/>
      <c r="P67"/>
      <c r="Q67"/>
      <c r="R67"/>
      <c r="S67"/>
    </row>
    <row r="68" spans="1:19" s="7" customFormat="1" x14ac:dyDescent="0.25">
      <c r="A68" s="3">
        <v>53</v>
      </c>
      <c r="B68" s="3" t="s">
        <v>82</v>
      </c>
      <c r="C68" s="3" t="s">
        <v>141</v>
      </c>
      <c r="D68" s="3">
        <v>10</v>
      </c>
      <c r="E68" s="3">
        <v>18</v>
      </c>
      <c r="F68" s="3">
        <v>19</v>
      </c>
      <c r="G68" s="3">
        <f t="shared" si="0"/>
        <v>28.2</v>
      </c>
      <c r="H68" s="3">
        <v>25</v>
      </c>
      <c r="I68" s="3">
        <f>H68+G68</f>
        <v>53.2</v>
      </c>
      <c r="J68" s="3">
        <v>35</v>
      </c>
      <c r="K68" s="3">
        <f>I68+J68</f>
        <v>88.2</v>
      </c>
      <c r="L68" s="30">
        <f t="shared" si="1"/>
        <v>17.600000000000001</v>
      </c>
      <c r="M68"/>
      <c r="N68"/>
    </row>
    <row r="69" spans="1:19" s="7" customFormat="1" x14ac:dyDescent="0.25">
      <c r="A69" s="3">
        <v>54</v>
      </c>
      <c r="B69" s="3" t="s">
        <v>83</v>
      </c>
      <c r="C69" s="3" t="s">
        <v>142</v>
      </c>
      <c r="D69" s="3">
        <v>10</v>
      </c>
      <c r="E69" s="3">
        <v>18</v>
      </c>
      <c r="F69" s="3">
        <v>19</v>
      </c>
      <c r="G69" s="3">
        <f t="shared" si="0"/>
        <v>28.2</v>
      </c>
      <c r="H69" s="3">
        <v>27</v>
      </c>
      <c r="I69" s="3">
        <f>H69+G69</f>
        <v>55.2</v>
      </c>
      <c r="J69" s="3">
        <v>33</v>
      </c>
      <c r="K69" s="3">
        <f>I69+J69</f>
        <v>88.2</v>
      </c>
      <c r="L69" s="30">
        <f t="shared" si="1"/>
        <v>17.600000000000001</v>
      </c>
      <c r="M69"/>
      <c r="N69"/>
    </row>
    <row r="70" spans="1:19" s="7" customFormat="1" x14ac:dyDescent="0.25">
      <c r="A70" s="3">
        <v>55</v>
      </c>
      <c r="B70" s="3" t="s">
        <v>84</v>
      </c>
      <c r="C70" s="3" t="s">
        <v>143</v>
      </c>
      <c r="D70" s="3">
        <v>5</v>
      </c>
      <c r="E70" s="3">
        <v>18</v>
      </c>
      <c r="F70" s="3">
        <v>19</v>
      </c>
      <c r="G70" s="3">
        <f t="shared" si="0"/>
        <v>25.2</v>
      </c>
      <c r="H70" s="3">
        <v>14</v>
      </c>
      <c r="I70" s="3">
        <f>H70+G70</f>
        <v>39.200000000000003</v>
      </c>
      <c r="J70" s="3">
        <v>27.5</v>
      </c>
      <c r="K70" s="3">
        <f>I70+J70</f>
        <v>66.7</v>
      </c>
      <c r="L70" s="30">
        <f t="shared" si="1"/>
        <v>13.3</v>
      </c>
      <c r="M70"/>
      <c r="N70"/>
    </row>
    <row r="71" spans="1:19" s="7" customFormat="1" x14ac:dyDescent="0.25">
      <c r="A71" s="3">
        <v>56</v>
      </c>
      <c r="B71" s="3" t="s">
        <v>85</v>
      </c>
      <c r="C71" s="3" t="s">
        <v>144</v>
      </c>
      <c r="D71" s="3">
        <v>10</v>
      </c>
      <c r="E71" s="3">
        <v>18</v>
      </c>
      <c r="F71" s="3">
        <v>19</v>
      </c>
      <c r="G71" s="3">
        <f t="shared" si="0"/>
        <v>28.2</v>
      </c>
      <c r="H71" s="3">
        <v>20</v>
      </c>
      <c r="I71" s="3">
        <f>H71+G71</f>
        <v>48.2</v>
      </c>
      <c r="J71" s="3">
        <v>30</v>
      </c>
      <c r="K71" s="3">
        <f>I71+J71</f>
        <v>78.2</v>
      </c>
      <c r="L71" s="30">
        <f t="shared" si="1"/>
        <v>15.6</v>
      </c>
      <c r="M71"/>
      <c r="N71"/>
    </row>
    <row r="72" spans="1:19" s="7" customFormat="1" x14ac:dyDescent="0.25">
      <c r="A72" s="3">
        <v>57</v>
      </c>
      <c r="B72" s="3" t="s">
        <v>86</v>
      </c>
      <c r="C72" s="3" t="s">
        <v>145</v>
      </c>
      <c r="D72" s="3">
        <v>10</v>
      </c>
      <c r="E72" s="3">
        <v>18</v>
      </c>
      <c r="F72" s="3">
        <v>19</v>
      </c>
      <c r="G72" s="3">
        <f t="shared" si="0"/>
        <v>28.2</v>
      </c>
      <c r="H72" s="3">
        <v>23</v>
      </c>
      <c r="I72" s="3">
        <f>H72+G72</f>
        <v>51.2</v>
      </c>
      <c r="J72" s="3">
        <v>37.5</v>
      </c>
      <c r="K72" s="3">
        <f>I72+J72</f>
        <v>88.7</v>
      </c>
      <c r="L72" s="30">
        <f t="shared" si="1"/>
        <v>17.7</v>
      </c>
      <c r="M72"/>
      <c r="N72"/>
    </row>
    <row r="73" spans="1:19" s="7" customFormat="1" x14ac:dyDescent="0.25">
      <c r="A73" s="3">
        <v>58</v>
      </c>
      <c r="B73" s="3" t="s">
        <v>87</v>
      </c>
      <c r="C73" s="3" t="s">
        <v>146</v>
      </c>
      <c r="D73" s="3">
        <v>10</v>
      </c>
      <c r="E73" s="3">
        <v>18</v>
      </c>
      <c r="F73" s="3">
        <v>19</v>
      </c>
      <c r="G73" s="3">
        <f t="shared" si="0"/>
        <v>28.2</v>
      </c>
      <c r="H73" s="3">
        <v>25</v>
      </c>
      <c r="I73" s="3">
        <f>H73+G73</f>
        <v>53.2</v>
      </c>
      <c r="J73" s="3">
        <v>31.5</v>
      </c>
      <c r="K73" s="3">
        <f>I73+J73</f>
        <v>84.7</v>
      </c>
      <c r="L73" s="30">
        <f t="shared" si="1"/>
        <v>16.899999999999999</v>
      </c>
      <c r="M73"/>
      <c r="N73"/>
    </row>
    <row r="74" spans="1:19" s="7" customFormat="1" x14ac:dyDescent="0.25">
      <c r="A74" s="3">
        <v>59</v>
      </c>
      <c r="B74" s="3" t="s">
        <v>88</v>
      </c>
      <c r="C74" s="3" t="s">
        <v>147</v>
      </c>
      <c r="D74" s="3">
        <v>10</v>
      </c>
      <c r="E74" s="3">
        <v>18</v>
      </c>
      <c r="F74" s="3">
        <v>19</v>
      </c>
      <c r="G74" s="3">
        <f t="shared" si="0"/>
        <v>28.2</v>
      </c>
      <c r="H74" s="3">
        <v>12</v>
      </c>
      <c r="I74" s="3">
        <f>H74+G74</f>
        <v>40.200000000000003</v>
      </c>
      <c r="J74" s="3">
        <v>11</v>
      </c>
      <c r="K74" s="3">
        <f>I74+J74</f>
        <v>51.2</v>
      </c>
      <c r="L74" s="30">
        <f t="shared" si="1"/>
        <v>10.199999999999999</v>
      </c>
      <c r="M74"/>
      <c r="N74"/>
    </row>
    <row r="75" spans="1:19" s="7" customFormat="1" x14ac:dyDescent="0.25">
      <c r="A75" s="30">
        <v>60</v>
      </c>
      <c r="B75" s="38">
        <v>27144</v>
      </c>
      <c r="C75" s="30" t="s">
        <v>149</v>
      </c>
      <c r="D75" s="30">
        <v>10</v>
      </c>
      <c r="E75" s="30">
        <v>10</v>
      </c>
      <c r="F75" s="30">
        <v>19</v>
      </c>
      <c r="G75" s="30">
        <f t="shared" si="0"/>
        <v>23.4</v>
      </c>
      <c r="H75" s="30">
        <v>12</v>
      </c>
      <c r="I75" s="30">
        <f>H75+G75</f>
        <v>35.4</v>
      </c>
      <c r="J75" s="30">
        <v>22</v>
      </c>
      <c r="K75" s="30">
        <f>I75+J75</f>
        <v>57.4</v>
      </c>
      <c r="L75" s="30">
        <f t="shared" si="1"/>
        <v>11.5</v>
      </c>
    </row>
    <row r="76" spans="1:19" x14ac:dyDescent="0.25">
      <c r="B76" s="34" t="s">
        <v>6</v>
      </c>
      <c r="C76" s="34"/>
      <c r="D76" s="34"/>
      <c r="E76" s="34"/>
      <c r="F76" s="34"/>
      <c r="G76" s="34"/>
      <c r="H76" s="34"/>
      <c r="I76" s="34"/>
      <c r="J76" s="34"/>
      <c r="K76" s="34"/>
    </row>
    <row r="77" spans="1:19" x14ac:dyDescent="0.25">
      <c r="A77" s="5" t="s">
        <v>1</v>
      </c>
      <c r="B77" s="5" t="s">
        <v>10</v>
      </c>
      <c r="C77" s="5" t="s">
        <v>9</v>
      </c>
      <c r="D77" s="36"/>
      <c r="E77" s="37"/>
      <c r="F77" s="35" t="s">
        <v>7</v>
      </c>
      <c r="G77" s="36"/>
      <c r="H77" s="36"/>
      <c r="I77" s="36"/>
      <c r="J77" s="36"/>
      <c r="K77" s="36"/>
      <c r="L77" s="6"/>
    </row>
    <row r="78" spans="1:19" x14ac:dyDescent="0.25">
      <c r="A78" s="5">
        <v>1</v>
      </c>
      <c r="B78" s="5"/>
      <c r="C78" s="5"/>
      <c r="D78" s="36"/>
      <c r="E78" s="37"/>
      <c r="F78" s="35"/>
      <c r="G78" s="36"/>
      <c r="H78" s="36"/>
      <c r="I78" s="36"/>
      <c r="J78" s="36"/>
      <c r="K78" s="37"/>
      <c r="L78" s="6"/>
    </row>
    <row r="79" spans="1:19" x14ac:dyDescent="0.25">
      <c r="A79" s="5"/>
      <c r="B79" s="5"/>
      <c r="C79" s="5"/>
      <c r="D79" s="36"/>
      <c r="E79" s="37"/>
      <c r="F79" s="35"/>
      <c r="G79" s="36"/>
      <c r="H79" s="36"/>
      <c r="I79" s="36"/>
      <c r="J79" s="36"/>
      <c r="K79" s="37"/>
      <c r="L79" s="6"/>
    </row>
    <row r="82" spans="2:14" ht="21" x14ac:dyDescent="0.35">
      <c r="F82" s="8" t="s">
        <v>11</v>
      </c>
    </row>
    <row r="83" spans="2:14" x14ac:dyDescent="0.25">
      <c r="F83" s="9"/>
    </row>
    <row r="84" spans="2:14" ht="77.25" x14ac:dyDescent="0.25">
      <c r="D84" s="31"/>
      <c r="E84" s="31"/>
      <c r="F84" s="31"/>
      <c r="G84" s="31"/>
      <c r="H84" s="29"/>
      <c r="I84" s="29"/>
      <c r="J84" s="32" t="s">
        <v>12</v>
      </c>
      <c r="K84" s="33"/>
      <c r="L84" s="10" t="s">
        <v>13</v>
      </c>
      <c r="M84" s="10" t="s">
        <v>14</v>
      </c>
      <c r="N84" s="10" t="s">
        <v>15</v>
      </c>
    </row>
    <row r="85" spans="2:14" ht="39" x14ac:dyDescent="0.25">
      <c r="D85" s="22" t="s">
        <v>16</v>
      </c>
      <c r="E85" s="11" t="s">
        <v>17</v>
      </c>
      <c r="F85" s="11" t="s">
        <v>18</v>
      </c>
      <c r="G85" s="11" t="s">
        <v>19</v>
      </c>
      <c r="H85" s="11"/>
      <c r="I85" s="11"/>
      <c r="J85" s="12" t="s">
        <v>20</v>
      </c>
      <c r="K85" s="12" t="s">
        <v>21</v>
      </c>
      <c r="L85" s="13"/>
      <c r="M85" s="13"/>
      <c r="N85" s="13"/>
    </row>
    <row r="86" spans="2:14" x14ac:dyDescent="0.25">
      <c r="D86" s="23">
        <f>COUNTIF(L16:L75,"&gt;=14")-COUNTIF(L16:L75,"&gt;=15.99")</f>
        <v>20</v>
      </c>
      <c r="E86" s="13">
        <f>COUNTIF(L16:L75,"&gt;=12")-COUNTIF(L16:L75,"&gt;=13.99")</f>
        <v>10</v>
      </c>
      <c r="F86" s="13">
        <f>COUNTIF(L16:L75,"&gt;=10")-COUNTIF(L16:L75,"&gt;=11.9")</f>
        <v>3</v>
      </c>
      <c r="G86" s="13">
        <f>COUNTIF(L16:L75,"&lt;10")</f>
        <v>0</v>
      </c>
      <c r="H86" s="13"/>
      <c r="I86" s="13"/>
      <c r="J86" s="13">
        <f>COUNTBLANK(H16:H75)</f>
        <v>0</v>
      </c>
      <c r="K86" s="13">
        <f>COUNTBLANK(J16:J75)</f>
        <v>1</v>
      </c>
      <c r="L86" s="13"/>
      <c r="M86" s="13">
        <f>ROWS(A16:A75)</f>
        <v>60</v>
      </c>
      <c r="N86" s="13"/>
    </row>
    <row r="88" spans="2:14" ht="18.75" x14ac:dyDescent="0.3">
      <c r="B88" s="14" t="s">
        <v>22</v>
      </c>
      <c r="E88" s="15" t="s">
        <v>23</v>
      </c>
      <c r="L88" s="14" t="s">
        <v>24</v>
      </c>
    </row>
    <row r="89" spans="2:14" x14ac:dyDescent="0.25">
      <c r="E89" s="16"/>
    </row>
    <row r="91" spans="2:14" ht="26.45" customHeight="1" x14ac:dyDescent="0.25">
      <c r="C91" s="24"/>
      <c r="E91" s="24"/>
    </row>
    <row r="92" spans="2:14" x14ac:dyDescent="0.25">
      <c r="B92" s="2" t="s">
        <v>539</v>
      </c>
    </row>
  </sheetData>
  <sortState xmlns:xlrd2="http://schemas.microsoft.com/office/spreadsheetml/2017/richdata2" ref="B16:L78">
    <sortCondition ref="B16"/>
  </sortState>
  <mergeCells count="9">
    <mergeCell ref="D84:G84"/>
    <mergeCell ref="J84:K84"/>
    <mergeCell ref="B76:K76"/>
    <mergeCell ref="D77:E77"/>
    <mergeCell ref="F77:K77"/>
    <mergeCell ref="D78:E78"/>
    <mergeCell ref="D79:E79"/>
    <mergeCell ref="F78:K78"/>
    <mergeCell ref="F79:K79"/>
  </mergeCells>
  <conditionalFormatting sqref="K16:K75">
    <cfRule type="cellIs" dxfId="24" priority="4" operator="lessThan">
      <formula>50</formula>
    </cfRule>
  </conditionalFormatting>
  <conditionalFormatting sqref="L16:L21 L23:L75">
    <cfRule type="cellIs" dxfId="23" priority="5" operator="lessThan">
      <formula>10</formula>
    </cfRule>
  </conditionalFormatting>
  <conditionalFormatting sqref="L22">
    <cfRule type="cellIs" dxfId="22" priority="1" operator="lessThan">
      <formula>50</formula>
    </cfRule>
  </conditionalFormatting>
  <pageMargins left="0.7" right="0.7" top="0.75" bottom="0.75" header="0.3" footer="0.3"/>
  <pageSetup scale="72" orientation="portrait" horizontalDpi="4294967295" verticalDpi="4294967295" r:id="rId1"/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C40A-B06D-45BA-91E4-A4EBE3AA26B3}">
  <dimension ref="A1:S99"/>
  <sheetViews>
    <sheetView topLeftCell="A6" workbookViewId="0">
      <selection activeCell="H22" sqref="H22"/>
    </sheetView>
  </sheetViews>
  <sheetFormatPr defaultColWidth="9.140625" defaultRowHeight="15" x14ac:dyDescent="0.25"/>
  <cols>
    <col min="1" max="1" width="5.5703125" customWidth="1"/>
    <col min="2" max="2" width="7.28515625" customWidth="1"/>
    <col min="3" max="3" width="36.5703125" bestFit="1" customWidth="1"/>
    <col min="4" max="4" width="6.85546875" style="7" customWidth="1"/>
    <col min="5" max="6" width="6.85546875" customWidth="1"/>
    <col min="7" max="9" width="7" customWidth="1"/>
    <col min="10" max="11" width="7.5703125" customWidth="1"/>
    <col min="12" max="12" width="7" customWidth="1"/>
  </cols>
  <sheetData>
    <row r="1" spans="1:12" s="1" customFormat="1" x14ac:dyDescent="0.25">
      <c r="D1" s="19"/>
    </row>
    <row r="2" spans="1:12" s="1" customFormat="1" x14ac:dyDescent="0.25">
      <c r="D2" s="19"/>
    </row>
    <row r="3" spans="1:12" s="1" customFormat="1" x14ac:dyDescent="0.25">
      <c r="D3" s="19"/>
    </row>
    <row r="4" spans="1:12" s="1" customFormat="1" x14ac:dyDescent="0.25">
      <c r="D4" s="19"/>
    </row>
    <row r="5" spans="1:12" s="1" customFormat="1" x14ac:dyDescent="0.25">
      <c r="D5" s="19"/>
    </row>
    <row r="6" spans="1:12" s="1" customFormat="1" x14ac:dyDescent="0.25">
      <c r="D6" s="19"/>
    </row>
    <row r="7" spans="1:12" s="1" customFormat="1" x14ac:dyDescent="0.25">
      <c r="A7" s="1" t="s">
        <v>8</v>
      </c>
      <c r="D7" s="20" t="s">
        <v>157</v>
      </c>
      <c r="E7" s="2"/>
      <c r="F7" s="2"/>
      <c r="G7" s="2"/>
      <c r="H7" s="2"/>
      <c r="I7" s="2"/>
      <c r="J7" s="2"/>
    </row>
    <row r="8" spans="1:12" s="1" customFormat="1" x14ac:dyDescent="0.25">
      <c r="A8" s="1" t="s">
        <v>0</v>
      </c>
      <c r="D8" s="19" t="s">
        <v>26</v>
      </c>
    </row>
    <row r="9" spans="1:12" s="1" customFormat="1" x14ac:dyDescent="0.25">
      <c r="A9" s="1" t="s">
        <v>155</v>
      </c>
      <c r="D9" s="19" t="s">
        <v>27</v>
      </c>
    </row>
    <row r="10" spans="1:12" s="1" customFormat="1" x14ac:dyDescent="0.25">
      <c r="A10" s="1" t="s">
        <v>154</v>
      </c>
      <c r="D10" s="19" t="s">
        <v>28</v>
      </c>
    </row>
    <row r="11" spans="1:12" s="1" customFormat="1" x14ac:dyDescent="0.25">
      <c r="A11" s="1" t="s">
        <v>29</v>
      </c>
      <c r="D11" s="19" t="s">
        <v>533</v>
      </c>
    </row>
    <row r="12" spans="1:12" s="1" customFormat="1" x14ac:dyDescent="0.25">
      <c r="D12" s="19"/>
    </row>
    <row r="13" spans="1:12" s="1" customFormat="1" x14ac:dyDescent="0.25">
      <c r="C13" s="2" t="s">
        <v>25</v>
      </c>
      <c r="D13" s="19"/>
    </row>
    <row r="14" spans="1:12" s="1" customFormat="1" x14ac:dyDescent="0.25">
      <c r="D14" s="19"/>
    </row>
    <row r="15" spans="1:12" ht="92.25" x14ac:dyDescent="0.25">
      <c r="A15" s="3" t="s">
        <v>1</v>
      </c>
      <c r="B15" s="3" t="s">
        <v>2</v>
      </c>
      <c r="C15" s="3" t="s">
        <v>3</v>
      </c>
      <c r="D15" s="21" t="s">
        <v>150</v>
      </c>
      <c r="E15" s="4" t="s">
        <v>151</v>
      </c>
      <c r="F15" s="4" t="s">
        <v>152</v>
      </c>
      <c r="G15" s="4" t="s">
        <v>536</v>
      </c>
      <c r="H15" s="4" t="s">
        <v>153</v>
      </c>
      <c r="I15" s="4" t="s">
        <v>537</v>
      </c>
      <c r="J15" s="4" t="s">
        <v>4</v>
      </c>
      <c r="K15" s="4" t="s">
        <v>532</v>
      </c>
      <c r="L15" s="4" t="s">
        <v>5</v>
      </c>
    </row>
    <row r="16" spans="1:12" x14ac:dyDescent="0.25">
      <c r="A16" s="3">
        <v>1</v>
      </c>
      <c r="B16" s="3" t="s">
        <v>158</v>
      </c>
      <c r="C16" s="3" t="s">
        <v>159</v>
      </c>
      <c r="D16" s="3">
        <v>10</v>
      </c>
      <c r="E16" s="3">
        <v>10</v>
      </c>
      <c r="F16" s="3">
        <v>10</v>
      </c>
      <c r="G16" s="3">
        <f>(D16+E16+F16)*30/50</f>
        <v>18</v>
      </c>
      <c r="H16" s="3">
        <v>16</v>
      </c>
      <c r="I16" s="3">
        <f>H16+G16</f>
        <v>34</v>
      </c>
      <c r="J16" s="3">
        <v>23.5</v>
      </c>
      <c r="K16" s="3">
        <f>I16+J16</f>
        <v>57.5</v>
      </c>
      <c r="L16" s="3">
        <f>ROUND(K16*20/100,1)</f>
        <v>11.5</v>
      </c>
    </row>
    <row r="17" spans="1:12" x14ac:dyDescent="0.25">
      <c r="A17" s="3">
        <v>2</v>
      </c>
      <c r="B17" s="3" t="s">
        <v>160</v>
      </c>
      <c r="C17" s="3" t="s">
        <v>161</v>
      </c>
      <c r="D17" s="3">
        <v>10</v>
      </c>
      <c r="E17" s="3">
        <v>18</v>
      </c>
      <c r="F17" s="3">
        <v>10</v>
      </c>
      <c r="G17" s="3">
        <f t="shared" ref="G17:G79" si="0">(D17+E17+F17)*30/50</f>
        <v>22.8</v>
      </c>
      <c r="H17" s="3">
        <v>4</v>
      </c>
      <c r="I17" s="3">
        <f>H17+G17</f>
        <v>26.8</v>
      </c>
      <c r="J17" s="3">
        <v>25</v>
      </c>
      <c r="K17" s="3">
        <f>I17+J17</f>
        <v>51.8</v>
      </c>
      <c r="L17" s="3">
        <f t="shared" ref="L17:L79" si="1">ROUND(K17*20/100,1)</f>
        <v>10.4</v>
      </c>
    </row>
    <row r="18" spans="1:12" x14ac:dyDescent="0.25">
      <c r="A18" s="3">
        <v>3</v>
      </c>
      <c r="B18" s="3" t="s">
        <v>162</v>
      </c>
      <c r="C18" s="3" t="s">
        <v>163</v>
      </c>
      <c r="D18" s="3">
        <v>10</v>
      </c>
      <c r="E18" s="3">
        <v>10</v>
      </c>
      <c r="F18" s="3">
        <v>17</v>
      </c>
      <c r="G18" s="3">
        <f t="shared" si="0"/>
        <v>22.2</v>
      </c>
      <c r="H18" s="3">
        <v>11</v>
      </c>
      <c r="I18" s="3">
        <f>H18+G18</f>
        <v>33.200000000000003</v>
      </c>
      <c r="J18" s="25"/>
      <c r="K18" s="42" t="s">
        <v>538</v>
      </c>
      <c r="L18" s="42" t="s">
        <v>538</v>
      </c>
    </row>
    <row r="19" spans="1:12" x14ac:dyDescent="0.25">
      <c r="A19" s="3">
        <v>4</v>
      </c>
      <c r="B19" s="3" t="s">
        <v>164</v>
      </c>
      <c r="C19" s="3" t="s">
        <v>165</v>
      </c>
      <c r="D19" s="3">
        <v>10</v>
      </c>
      <c r="E19" s="3">
        <v>10</v>
      </c>
      <c r="F19" s="3">
        <v>10</v>
      </c>
      <c r="G19" s="3">
        <f t="shared" si="0"/>
        <v>18</v>
      </c>
      <c r="H19" s="3">
        <v>11</v>
      </c>
      <c r="I19" s="3">
        <f>H19+G19</f>
        <v>29</v>
      </c>
      <c r="J19" s="3">
        <v>37.5</v>
      </c>
      <c r="K19" s="3">
        <f>I19+J19</f>
        <v>66.5</v>
      </c>
      <c r="L19" s="3">
        <f t="shared" si="1"/>
        <v>13.3</v>
      </c>
    </row>
    <row r="20" spans="1:12" x14ac:dyDescent="0.25">
      <c r="A20" s="3">
        <v>5</v>
      </c>
      <c r="B20" s="3" t="s">
        <v>166</v>
      </c>
      <c r="C20" s="3" t="s">
        <v>167</v>
      </c>
      <c r="D20" s="3">
        <v>10</v>
      </c>
      <c r="E20" s="3">
        <v>10</v>
      </c>
      <c r="F20" s="3">
        <v>17</v>
      </c>
      <c r="G20" s="3">
        <f t="shared" si="0"/>
        <v>22.2</v>
      </c>
      <c r="H20" s="3">
        <v>17</v>
      </c>
      <c r="I20" s="3">
        <f>H20+G20</f>
        <v>39.200000000000003</v>
      </c>
      <c r="J20" s="3">
        <v>30</v>
      </c>
      <c r="K20" s="3">
        <f>I20+J20</f>
        <v>69.2</v>
      </c>
      <c r="L20" s="3">
        <f t="shared" si="1"/>
        <v>13.8</v>
      </c>
    </row>
    <row r="21" spans="1:12" x14ac:dyDescent="0.25">
      <c r="A21" s="3">
        <v>6</v>
      </c>
      <c r="B21" s="3" t="s">
        <v>168</v>
      </c>
      <c r="C21" s="3" t="s">
        <v>169</v>
      </c>
      <c r="D21" s="3">
        <v>5</v>
      </c>
      <c r="E21" s="3">
        <v>10</v>
      </c>
      <c r="F21" s="3">
        <v>10</v>
      </c>
      <c r="G21" s="3">
        <f t="shared" si="0"/>
        <v>15</v>
      </c>
      <c r="H21" s="3">
        <v>25</v>
      </c>
      <c r="I21" s="3">
        <f>H21+G21</f>
        <v>40</v>
      </c>
      <c r="J21" s="3">
        <v>36.5</v>
      </c>
      <c r="K21" s="3">
        <f>I21+J21</f>
        <v>76.5</v>
      </c>
      <c r="L21" s="3">
        <f t="shared" si="1"/>
        <v>15.3</v>
      </c>
    </row>
    <row r="22" spans="1:12" x14ac:dyDescent="0.25">
      <c r="A22" s="3">
        <v>7</v>
      </c>
      <c r="B22" s="3" t="s">
        <v>170</v>
      </c>
      <c r="C22" s="3" t="s">
        <v>171</v>
      </c>
      <c r="D22" s="3">
        <v>10</v>
      </c>
      <c r="E22" s="3">
        <v>10</v>
      </c>
      <c r="F22" s="3">
        <v>12</v>
      </c>
      <c r="G22" s="3">
        <f t="shared" si="0"/>
        <v>19.2</v>
      </c>
      <c r="H22" s="3">
        <v>14</v>
      </c>
      <c r="I22" s="3">
        <f>H22+G22</f>
        <v>33.200000000000003</v>
      </c>
      <c r="J22" s="3">
        <v>13.5</v>
      </c>
      <c r="K22" s="3">
        <f>I22+J22</f>
        <v>46.7</v>
      </c>
      <c r="L22" s="3">
        <f t="shared" si="1"/>
        <v>9.3000000000000007</v>
      </c>
    </row>
    <row r="23" spans="1:12" x14ac:dyDescent="0.25">
      <c r="A23" s="3">
        <v>8</v>
      </c>
      <c r="B23" s="3" t="s">
        <v>172</v>
      </c>
      <c r="C23" s="3" t="s">
        <v>173</v>
      </c>
      <c r="D23" s="3">
        <v>10</v>
      </c>
      <c r="E23" s="3">
        <v>10</v>
      </c>
      <c r="F23" s="3">
        <v>10</v>
      </c>
      <c r="G23" s="3">
        <f t="shared" si="0"/>
        <v>18</v>
      </c>
      <c r="H23" s="3">
        <v>17</v>
      </c>
      <c r="I23" s="3">
        <f>H23+G23</f>
        <v>35</v>
      </c>
      <c r="J23" s="3">
        <v>28.5</v>
      </c>
      <c r="K23" s="3">
        <f>I23+J23</f>
        <v>63.5</v>
      </c>
      <c r="L23" s="3">
        <f t="shared" si="1"/>
        <v>12.7</v>
      </c>
    </row>
    <row r="24" spans="1:12" x14ac:dyDescent="0.25">
      <c r="A24" s="3">
        <v>9</v>
      </c>
      <c r="B24" s="3" t="s">
        <v>174</v>
      </c>
      <c r="C24" s="3" t="s">
        <v>175</v>
      </c>
      <c r="D24" s="3">
        <v>10</v>
      </c>
      <c r="E24" s="3">
        <v>10</v>
      </c>
      <c r="F24" s="3">
        <v>17</v>
      </c>
      <c r="G24" s="3">
        <f t="shared" si="0"/>
        <v>22.2</v>
      </c>
      <c r="H24" s="3">
        <v>15</v>
      </c>
      <c r="I24" s="3">
        <f>H24+G24</f>
        <v>37.200000000000003</v>
      </c>
      <c r="J24" s="3">
        <v>30.5</v>
      </c>
      <c r="K24" s="3">
        <f>I24+J24</f>
        <v>67.7</v>
      </c>
      <c r="L24" s="3">
        <f t="shared" si="1"/>
        <v>13.5</v>
      </c>
    </row>
    <row r="25" spans="1:12" x14ac:dyDescent="0.25">
      <c r="A25" s="3">
        <v>10</v>
      </c>
      <c r="B25" s="3" t="s">
        <v>176</v>
      </c>
      <c r="C25" s="3" t="s">
        <v>177</v>
      </c>
      <c r="D25" s="3">
        <v>10</v>
      </c>
      <c r="E25" s="3">
        <v>18</v>
      </c>
      <c r="F25" s="3">
        <v>10</v>
      </c>
      <c r="G25" s="3">
        <f t="shared" si="0"/>
        <v>22.8</v>
      </c>
      <c r="H25" s="3">
        <v>11</v>
      </c>
      <c r="I25" s="3">
        <f>H25+G25</f>
        <v>33.799999999999997</v>
      </c>
      <c r="J25" s="3">
        <v>22</v>
      </c>
      <c r="K25" s="3">
        <f>I25+J25</f>
        <v>55.8</v>
      </c>
      <c r="L25" s="3">
        <f t="shared" si="1"/>
        <v>11.2</v>
      </c>
    </row>
    <row r="26" spans="1:12" ht="14.25" customHeight="1" x14ac:dyDescent="0.25">
      <c r="A26" s="3">
        <v>11</v>
      </c>
      <c r="B26" s="3" t="s">
        <v>178</v>
      </c>
      <c r="C26" s="3" t="s">
        <v>179</v>
      </c>
      <c r="D26" s="3">
        <v>10</v>
      </c>
      <c r="E26" s="3">
        <v>10</v>
      </c>
      <c r="F26" s="3">
        <v>10</v>
      </c>
      <c r="G26" s="3">
        <f t="shared" si="0"/>
        <v>18</v>
      </c>
      <c r="H26" s="3">
        <v>20</v>
      </c>
      <c r="I26" s="3">
        <f>H26+G26</f>
        <v>38</v>
      </c>
      <c r="J26" s="3">
        <v>25</v>
      </c>
      <c r="K26" s="3">
        <f>I26+J26</f>
        <v>63</v>
      </c>
      <c r="L26" s="3">
        <f t="shared" si="1"/>
        <v>12.6</v>
      </c>
    </row>
    <row r="27" spans="1:12" x14ac:dyDescent="0.25">
      <c r="A27" s="3">
        <v>12</v>
      </c>
      <c r="B27" s="3" t="s">
        <v>180</v>
      </c>
      <c r="C27" s="3" t="s">
        <v>181</v>
      </c>
      <c r="D27" s="3">
        <v>10</v>
      </c>
      <c r="E27" s="3">
        <v>10</v>
      </c>
      <c r="F27" s="3">
        <v>10</v>
      </c>
      <c r="G27" s="3">
        <f t="shared" si="0"/>
        <v>18</v>
      </c>
      <c r="H27" s="3">
        <v>23</v>
      </c>
      <c r="I27" s="3">
        <f>H27+G27</f>
        <v>41</v>
      </c>
      <c r="J27" s="3">
        <v>24</v>
      </c>
      <c r="K27" s="3">
        <f>I27+J27</f>
        <v>65</v>
      </c>
      <c r="L27" s="3">
        <f t="shared" si="1"/>
        <v>13</v>
      </c>
    </row>
    <row r="28" spans="1:12" x14ac:dyDescent="0.25">
      <c r="A28" s="3">
        <v>13</v>
      </c>
      <c r="B28" s="3" t="s">
        <v>182</v>
      </c>
      <c r="C28" s="3" t="s">
        <v>183</v>
      </c>
      <c r="D28" s="3">
        <v>10</v>
      </c>
      <c r="E28" s="3">
        <v>18</v>
      </c>
      <c r="F28" s="3">
        <v>10</v>
      </c>
      <c r="G28" s="3">
        <f t="shared" si="0"/>
        <v>22.8</v>
      </c>
      <c r="H28" s="3">
        <v>27</v>
      </c>
      <c r="I28" s="3">
        <f>H28+G28</f>
        <v>49.8</v>
      </c>
      <c r="J28" s="3">
        <v>36</v>
      </c>
      <c r="K28" s="3">
        <f>I28+J28</f>
        <v>85.8</v>
      </c>
      <c r="L28" s="3">
        <f t="shared" si="1"/>
        <v>17.2</v>
      </c>
    </row>
    <row r="29" spans="1:12" x14ac:dyDescent="0.25">
      <c r="A29" s="3">
        <v>14</v>
      </c>
      <c r="B29" s="3" t="s">
        <v>184</v>
      </c>
      <c r="C29" s="3" t="s">
        <v>185</v>
      </c>
      <c r="D29" s="3">
        <v>10</v>
      </c>
      <c r="E29" s="3">
        <v>18</v>
      </c>
      <c r="F29" s="3">
        <v>10</v>
      </c>
      <c r="G29" s="3">
        <f t="shared" si="0"/>
        <v>22.8</v>
      </c>
      <c r="H29" s="3">
        <v>29</v>
      </c>
      <c r="I29" s="3">
        <f>H29+G29</f>
        <v>51.8</v>
      </c>
      <c r="J29" s="3">
        <v>22</v>
      </c>
      <c r="K29" s="3">
        <f>I29+J29</f>
        <v>73.8</v>
      </c>
      <c r="L29" s="3">
        <f t="shared" si="1"/>
        <v>14.8</v>
      </c>
    </row>
    <row r="30" spans="1:12" x14ac:dyDescent="0.25">
      <c r="A30" s="3">
        <v>15</v>
      </c>
      <c r="B30" s="3" t="s">
        <v>186</v>
      </c>
      <c r="C30" s="3" t="s">
        <v>187</v>
      </c>
      <c r="D30" s="3">
        <v>10</v>
      </c>
      <c r="E30" s="3">
        <v>18</v>
      </c>
      <c r="F30" s="3">
        <v>10</v>
      </c>
      <c r="G30" s="3">
        <f t="shared" si="0"/>
        <v>22.8</v>
      </c>
      <c r="H30" s="3">
        <v>13</v>
      </c>
      <c r="I30" s="3">
        <f>H30+G30</f>
        <v>35.799999999999997</v>
      </c>
      <c r="J30" s="3">
        <v>26</v>
      </c>
      <c r="K30" s="3">
        <f>I30+J30</f>
        <v>61.8</v>
      </c>
      <c r="L30" s="3">
        <f t="shared" si="1"/>
        <v>12.4</v>
      </c>
    </row>
    <row r="31" spans="1:12" x14ac:dyDescent="0.25">
      <c r="A31" s="3">
        <v>16</v>
      </c>
      <c r="B31" s="3" t="s">
        <v>188</v>
      </c>
      <c r="C31" s="3" t="s">
        <v>189</v>
      </c>
      <c r="D31" s="3">
        <v>10</v>
      </c>
      <c r="E31" s="3">
        <v>10</v>
      </c>
      <c r="F31" s="3">
        <v>17</v>
      </c>
      <c r="G31" s="3">
        <f t="shared" si="0"/>
        <v>22.2</v>
      </c>
      <c r="H31" s="3">
        <v>19</v>
      </c>
      <c r="I31" s="3">
        <f>H31+G31</f>
        <v>41.2</v>
      </c>
      <c r="J31" s="3">
        <v>33.5</v>
      </c>
      <c r="K31" s="3">
        <f>I31+J31</f>
        <v>74.7</v>
      </c>
      <c r="L31" s="3">
        <f t="shared" si="1"/>
        <v>14.9</v>
      </c>
    </row>
    <row r="32" spans="1:12" x14ac:dyDescent="0.25">
      <c r="A32" s="3">
        <v>17</v>
      </c>
      <c r="B32" s="3" t="s">
        <v>190</v>
      </c>
      <c r="C32" s="3" t="s">
        <v>191</v>
      </c>
      <c r="D32" s="3">
        <v>10</v>
      </c>
      <c r="E32" s="3">
        <v>18</v>
      </c>
      <c r="F32" s="3">
        <v>14</v>
      </c>
      <c r="G32" s="3">
        <f t="shared" si="0"/>
        <v>25.2</v>
      </c>
      <c r="H32" s="3">
        <v>22</v>
      </c>
      <c r="I32" s="3">
        <f>H32+G32</f>
        <v>47.2</v>
      </c>
      <c r="J32" s="3">
        <v>36.5</v>
      </c>
      <c r="K32" s="3">
        <f>I32+J32</f>
        <v>83.7</v>
      </c>
      <c r="L32" s="3">
        <f t="shared" si="1"/>
        <v>16.7</v>
      </c>
    </row>
    <row r="33" spans="1:16" x14ac:dyDescent="0.25">
      <c r="A33" s="3">
        <v>18</v>
      </c>
      <c r="B33" s="3" t="s">
        <v>192</v>
      </c>
      <c r="C33" s="3" t="s">
        <v>193</v>
      </c>
      <c r="D33" s="3">
        <v>10</v>
      </c>
      <c r="E33" s="3">
        <v>10</v>
      </c>
      <c r="F33" s="3">
        <v>17</v>
      </c>
      <c r="G33" s="3">
        <f t="shared" si="0"/>
        <v>22.2</v>
      </c>
      <c r="H33" s="3">
        <v>8</v>
      </c>
      <c r="I33" s="3">
        <f>H33+G33</f>
        <v>30.2</v>
      </c>
      <c r="J33" s="25"/>
      <c r="K33" s="42" t="s">
        <v>538</v>
      </c>
      <c r="L33" s="42" t="s">
        <v>538</v>
      </c>
    </row>
    <row r="34" spans="1:16" ht="16.5" customHeight="1" x14ac:dyDescent="0.25">
      <c r="A34" s="3">
        <v>19</v>
      </c>
      <c r="B34" s="3" t="s">
        <v>194</v>
      </c>
      <c r="C34" s="3" t="s">
        <v>195</v>
      </c>
      <c r="D34" s="3">
        <v>10</v>
      </c>
      <c r="E34" s="3">
        <v>18</v>
      </c>
      <c r="F34" s="3">
        <v>10</v>
      </c>
      <c r="G34" s="3">
        <f t="shared" si="0"/>
        <v>22.8</v>
      </c>
      <c r="H34" s="3">
        <v>13</v>
      </c>
      <c r="I34" s="3">
        <f>H34+G34</f>
        <v>35.799999999999997</v>
      </c>
      <c r="J34" s="3">
        <v>28.5</v>
      </c>
      <c r="K34" s="3">
        <f>I34+J34</f>
        <v>64.3</v>
      </c>
      <c r="L34" s="3">
        <f t="shared" si="1"/>
        <v>12.9</v>
      </c>
    </row>
    <row r="35" spans="1:16" x14ac:dyDescent="0.25">
      <c r="A35" s="3">
        <v>20</v>
      </c>
      <c r="B35" s="3" t="s">
        <v>196</v>
      </c>
      <c r="C35" s="3" t="s">
        <v>197</v>
      </c>
      <c r="D35" s="3">
        <v>10</v>
      </c>
      <c r="E35" s="3">
        <v>18</v>
      </c>
      <c r="F35" s="3">
        <v>17</v>
      </c>
      <c r="G35" s="3">
        <f t="shared" si="0"/>
        <v>27</v>
      </c>
      <c r="H35" s="3">
        <v>21</v>
      </c>
      <c r="I35" s="3">
        <f>H35+G35</f>
        <v>48</v>
      </c>
      <c r="J35" s="3">
        <v>29.5</v>
      </c>
      <c r="K35" s="3">
        <f>I35+J35</f>
        <v>77.5</v>
      </c>
      <c r="L35" s="3">
        <f t="shared" si="1"/>
        <v>15.5</v>
      </c>
    </row>
    <row r="36" spans="1:16" x14ac:dyDescent="0.25">
      <c r="A36" s="3">
        <v>21</v>
      </c>
      <c r="B36" s="3" t="s">
        <v>198</v>
      </c>
      <c r="C36" s="3" t="s">
        <v>199</v>
      </c>
      <c r="D36" s="3">
        <v>10</v>
      </c>
      <c r="E36" s="3">
        <v>18</v>
      </c>
      <c r="F36" s="3">
        <v>17</v>
      </c>
      <c r="G36" s="3">
        <f t="shared" si="0"/>
        <v>27</v>
      </c>
      <c r="H36" s="3">
        <v>29</v>
      </c>
      <c r="I36" s="3">
        <f>H36+G36</f>
        <v>56</v>
      </c>
      <c r="J36" s="3">
        <v>27.5</v>
      </c>
      <c r="K36" s="3">
        <f>I36+J36</f>
        <v>83.5</v>
      </c>
      <c r="L36" s="3">
        <f t="shared" si="1"/>
        <v>16.7</v>
      </c>
    </row>
    <row r="37" spans="1:16" x14ac:dyDescent="0.25">
      <c r="A37" s="3">
        <v>22</v>
      </c>
      <c r="B37" s="3" t="s">
        <v>200</v>
      </c>
      <c r="C37" s="3" t="s">
        <v>201</v>
      </c>
      <c r="D37" s="3">
        <v>10</v>
      </c>
      <c r="E37" s="3">
        <v>18</v>
      </c>
      <c r="F37" s="3">
        <v>10</v>
      </c>
      <c r="G37" s="3">
        <f t="shared" si="0"/>
        <v>22.8</v>
      </c>
      <c r="H37" s="3">
        <v>11</v>
      </c>
      <c r="I37" s="3">
        <f>H37+G37</f>
        <v>33.799999999999997</v>
      </c>
      <c r="J37" s="3">
        <v>28</v>
      </c>
      <c r="K37" s="3">
        <f>I37+J37</f>
        <v>61.8</v>
      </c>
      <c r="L37" s="3">
        <f t="shared" si="1"/>
        <v>12.4</v>
      </c>
    </row>
    <row r="38" spans="1:16" x14ac:dyDescent="0.25">
      <c r="A38" s="3">
        <v>23</v>
      </c>
      <c r="B38" s="3" t="s">
        <v>202</v>
      </c>
      <c r="C38" s="3" t="s">
        <v>203</v>
      </c>
      <c r="D38" s="3">
        <v>10</v>
      </c>
      <c r="E38" s="3">
        <v>18</v>
      </c>
      <c r="F38" s="3">
        <v>10</v>
      </c>
      <c r="G38" s="3">
        <f t="shared" si="0"/>
        <v>22.8</v>
      </c>
      <c r="H38" s="3">
        <v>15</v>
      </c>
      <c r="I38" s="3">
        <f>H38+G38</f>
        <v>37.799999999999997</v>
      </c>
      <c r="J38" s="3">
        <v>35.5</v>
      </c>
      <c r="K38" s="3">
        <f>I38+J38</f>
        <v>73.3</v>
      </c>
      <c r="L38" s="3">
        <f t="shared" si="1"/>
        <v>14.7</v>
      </c>
    </row>
    <row r="39" spans="1:16" x14ac:dyDescent="0.25">
      <c r="A39" s="3">
        <v>24</v>
      </c>
      <c r="B39" s="3" t="s">
        <v>204</v>
      </c>
      <c r="C39" s="3" t="s">
        <v>205</v>
      </c>
      <c r="D39" s="3">
        <v>10</v>
      </c>
      <c r="E39" s="3">
        <v>18</v>
      </c>
      <c r="F39" s="3">
        <v>19</v>
      </c>
      <c r="G39" s="3">
        <f t="shared" si="0"/>
        <v>28.2</v>
      </c>
      <c r="H39" s="3">
        <v>16</v>
      </c>
      <c r="I39" s="3">
        <f>H39+G39</f>
        <v>44.2</v>
      </c>
      <c r="J39" s="3">
        <v>33.5</v>
      </c>
      <c r="K39" s="3">
        <f>I39+J39</f>
        <v>77.7</v>
      </c>
      <c r="L39" s="3">
        <f t="shared" si="1"/>
        <v>15.5</v>
      </c>
    </row>
    <row r="40" spans="1:16" x14ac:dyDescent="0.25">
      <c r="A40" s="3">
        <v>25</v>
      </c>
      <c r="B40" s="3" t="s">
        <v>206</v>
      </c>
      <c r="C40" s="3" t="s">
        <v>207</v>
      </c>
      <c r="D40" s="3">
        <v>5</v>
      </c>
      <c r="E40" s="3">
        <v>18</v>
      </c>
      <c r="F40" s="3">
        <v>10</v>
      </c>
      <c r="G40" s="3">
        <f t="shared" si="0"/>
        <v>19.8</v>
      </c>
      <c r="H40" s="3">
        <v>22</v>
      </c>
      <c r="I40" s="3">
        <f>H40+G40</f>
        <v>41.8</v>
      </c>
      <c r="J40" s="3">
        <v>22.5</v>
      </c>
      <c r="K40" s="3">
        <f>I40+J40</f>
        <v>64.3</v>
      </c>
      <c r="L40" s="3">
        <f t="shared" si="1"/>
        <v>12.9</v>
      </c>
    </row>
    <row r="41" spans="1:16" x14ac:dyDescent="0.25">
      <c r="A41" s="3">
        <v>26</v>
      </c>
      <c r="B41" s="3" t="s">
        <v>208</v>
      </c>
      <c r="C41" s="3" t="s">
        <v>209</v>
      </c>
      <c r="D41" s="3">
        <v>10</v>
      </c>
      <c r="E41" s="3">
        <v>18</v>
      </c>
      <c r="F41" s="3">
        <v>19</v>
      </c>
      <c r="G41" s="3">
        <f t="shared" si="0"/>
        <v>28.2</v>
      </c>
      <c r="H41" s="3">
        <v>7</v>
      </c>
      <c r="I41" s="3">
        <f>H41+G41</f>
        <v>35.200000000000003</v>
      </c>
      <c r="J41" s="3">
        <v>17</v>
      </c>
      <c r="K41" s="3">
        <f>I41+J41</f>
        <v>52.2</v>
      </c>
      <c r="L41" s="3">
        <f t="shared" si="1"/>
        <v>10.4</v>
      </c>
    </row>
    <row r="42" spans="1:16" x14ac:dyDescent="0.25">
      <c r="A42" s="3">
        <v>27</v>
      </c>
      <c r="B42" s="3" t="s">
        <v>210</v>
      </c>
      <c r="C42" s="3" t="s">
        <v>211</v>
      </c>
      <c r="D42" s="3">
        <v>10</v>
      </c>
      <c r="E42" s="3">
        <v>18</v>
      </c>
      <c r="F42" s="3">
        <v>14</v>
      </c>
      <c r="G42" s="3">
        <f t="shared" si="0"/>
        <v>25.2</v>
      </c>
      <c r="H42" s="3">
        <v>27</v>
      </c>
      <c r="I42" s="3">
        <f>H42+G42</f>
        <v>52.2</v>
      </c>
      <c r="J42" s="3">
        <v>34.5</v>
      </c>
      <c r="K42" s="3">
        <f>I42+J42</f>
        <v>86.7</v>
      </c>
      <c r="L42" s="3">
        <f t="shared" si="1"/>
        <v>17.3</v>
      </c>
    </row>
    <row r="43" spans="1:16" x14ac:dyDescent="0.25">
      <c r="A43" s="3">
        <v>28</v>
      </c>
      <c r="B43" s="3" t="s">
        <v>212</v>
      </c>
      <c r="C43" s="3" t="s">
        <v>213</v>
      </c>
      <c r="D43" s="3">
        <v>10</v>
      </c>
      <c r="E43" s="3">
        <v>10</v>
      </c>
      <c r="F43" s="3">
        <v>14</v>
      </c>
      <c r="G43" s="3">
        <f t="shared" si="0"/>
        <v>20.399999999999999</v>
      </c>
      <c r="H43" s="3">
        <v>18</v>
      </c>
      <c r="I43" s="3">
        <f>H43+G43</f>
        <v>38.4</v>
      </c>
      <c r="J43" s="3">
        <v>25</v>
      </c>
      <c r="K43" s="3">
        <f>I43+J43</f>
        <v>63.4</v>
      </c>
      <c r="L43" s="3">
        <f t="shared" si="1"/>
        <v>12.7</v>
      </c>
    </row>
    <row r="44" spans="1:16" x14ac:dyDescent="0.25">
      <c r="A44" s="3">
        <v>29</v>
      </c>
      <c r="B44" s="3" t="s">
        <v>214</v>
      </c>
      <c r="C44" s="3" t="s">
        <v>215</v>
      </c>
      <c r="D44" s="3">
        <v>10</v>
      </c>
      <c r="E44" s="3">
        <v>18</v>
      </c>
      <c r="F44" s="3">
        <v>14</v>
      </c>
      <c r="G44" s="3">
        <f t="shared" si="0"/>
        <v>25.2</v>
      </c>
      <c r="H44" s="3">
        <v>17</v>
      </c>
      <c r="I44" s="3">
        <f>H44+G44</f>
        <v>42.2</v>
      </c>
      <c r="J44" s="3">
        <v>39</v>
      </c>
      <c r="K44" s="3">
        <f>I44+J44</f>
        <v>81.2</v>
      </c>
      <c r="L44" s="3">
        <f t="shared" si="1"/>
        <v>16.2</v>
      </c>
    </row>
    <row r="45" spans="1:16" x14ac:dyDescent="0.25">
      <c r="A45" s="3">
        <v>30</v>
      </c>
      <c r="B45" s="3" t="s">
        <v>216</v>
      </c>
      <c r="C45" s="3" t="s">
        <v>217</v>
      </c>
      <c r="D45" s="3">
        <v>5</v>
      </c>
      <c r="E45" s="3">
        <v>18</v>
      </c>
      <c r="F45" s="3">
        <v>14</v>
      </c>
      <c r="G45" s="3">
        <f t="shared" si="0"/>
        <v>22.2</v>
      </c>
      <c r="H45" s="3">
        <v>26</v>
      </c>
      <c r="I45" s="3">
        <f>H45+G45</f>
        <v>48.2</v>
      </c>
      <c r="J45" s="3">
        <v>38.5</v>
      </c>
      <c r="K45" s="3">
        <f>I45+J45</f>
        <v>86.7</v>
      </c>
      <c r="L45" s="3">
        <f t="shared" si="1"/>
        <v>17.3</v>
      </c>
    </row>
    <row r="46" spans="1:16" x14ac:dyDescent="0.25">
      <c r="A46" s="3">
        <v>31</v>
      </c>
      <c r="B46" s="3" t="s">
        <v>218</v>
      </c>
      <c r="C46" s="3" t="s">
        <v>219</v>
      </c>
      <c r="D46" s="3">
        <v>10</v>
      </c>
      <c r="E46" s="3">
        <v>10</v>
      </c>
      <c r="F46" s="3">
        <v>19</v>
      </c>
      <c r="G46" s="3">
        <f t="shared" si="0"/>
        <v>23.4</v>
      </c>
      <c r="H46" s="3">
        <v>23</v>
      </c>
      <c r="I46" s="3">
        <f>H46+G46</f>
        <v>46.4</v>
      </c>
      <c r="J46" s="3">
        <v>31</v>
      </c>
      <c r="K46" s="3">
        <f>I46+J46</f>
        <v>77.400000000000006</v>
      </c>
      <c r="L46" s="3">
        <f t="shared" si="1"/>
        <v>15.5</v>
      </c>
    </row>
    <row r="47" spans="1:16" x14ac:dyDescent="0.25">
      <c r="A47" s="3">
        <v>32</v>
      </c>
      <c r="B47" s="3" t="s">
        <v>220</v>
      </c>
      <c r="C47" s="3" t="s">
        <v>221</v>
      </c>
      <c r="D47" s="3">
        <v>10</v>
      </c>
      <c r="E47" s="3">
        <v>18</v>
      </c>
      <c r="F47" s="3">
        <v>10</v>
      </c>
      <c r="G47" s="3">
        <f t="shared" si="0"/>
        <v>22.8</v>
      </c>
      <c r="H47" s="3">
        <v>18</v>
      </c>
      <c r="I47" s="3">
        <f>H47+G47</f>
        <v>40.799999999999997</v>
      </c>
      <c r="J47" s="3">
        <v>24</v>
      </c>
      <c r="K47" s="3">
        <f>I47+J47</f>
        <v>64.8</v>
      </c>
      <c r="L47" s="3">
        <f t="shared" si="1"/>
        <v>13</v>
      </c>
    </row>
    <row r="48" spans="1:16" s="7" customFormat="1" x14ac:dyDescent="0.25">
      <c r="A48" s="3">
        <v>33</v>
      </c>
      <c r="B48" s="3" t="s">
        <v>222</v>
      </c>
      <c r="C48" s="3" t="s">
        <v>223</v>
      </c>
      <c r="D48" s="3">
        <v>10</v>
      </c>
      <c r="E48" s="3">
        <v>10</v>
      </c>
      <c r="F48" s="3">
        <v>19</v>
      </c>
      <c r="G48" s="3">
        <f t="shared" si="0"/>
        <v>23.4</v>
      </c>
      <c r="H48" s="3">
        <v>27</v>
      </c>
      <c r="I48" s="3">
        <f>H48+G48</f>
        <v>50.4</v>
      </c>
      <c r="J48" s="3">
        <v>35</v>
      </c>
      <c r="K48" s="3">
        <f>I48+J48</f>
        <v>85.4</v>
      </c>
      <c r="L48" s="3">
        <f t="shared" si="1"/>
        <v>17.100000000000001</v>
      </c>
      <c r="M48"/>
      <c r="N48"/>
      <c r="O48"/>
      <c r="P48"/>
    </row>
    <row r="49" spans="1:19" s="7" customFormat="1" x14ac:dyDescent="0.25">
      <c r="A49" s="3">
        <v>34</v>
      </c>
      <c r="B49" s="3" t="s">
        <v>224</v>
      </c>
      <c r="C49" s="3" t="s">
        <v>225</v>
      </c>
      <c r="D49" s="3">
        <v>10</v>
      </c>
      <c r="E49" s="3">
        <v>18</v>
      </c>
      <c r="F49" s="3">
        <v>10</v>
      </c>
      <c r="G49" s="3">
        <f t="shared" si="0"/>
        <v>22.8</v>
      </c>
      <c r="H49" s="3">
        <v>19</v>
      </c>
      <c r="I49" s="3">
        <f>H49+G49</f>
        <v>41.8</v>
      </c>
      <c r="J49" s="3">
        <v>32</v>
      </c>
      <c r="K49" s="3">
        <f>I49+J49</f>
        <v>73.8</v>
      </c>
      <c r="L49" s="3">
        <f t="shared" si="1"/>
        <v>14.8</v>
      </c>
      <c r="M49"/>
      <c r="N49"/>
    </row>
    <row r="50" spans="1:19" s="7" customFormat="1" x14ac:dyDescent="0.25">
      <c r="A50" s="3">
        <v>35</v>
      </c>
      <c r="B50" s="3" t="s">
        <v>226</v>
      </c>
      <c r="C50" s="3" t="s">
        <v>227</v>
      </c>
      <c r="D50" s="3">
        <v>10</v>
      </c>
      <c r="E50" s="3">
        <v>18</v>
      </c>
      <c r="F50" s="3">
        <v>10</v>
      </c>
      <c r="G50" s="3">
        <f t="shared" si="0"/>
        <v>22.8</v>
      </c>
      <c r="H50" s="3">
        <v>29</v>
      </c>
      <c r="I50" s="3">
        <f>H50+G50</f>
        <v>51.8</v>
      </c>
      <c r="J50" s="3">
        <v>26.5</v>
      </c>
      <c r="K50" s="3">
        <f>I50+J50</f>
        <v>78.3</v>
      </c>
      <c r="L50" s="3">
        <f t="shared" si="1"/>
        <v>15.7</v>
      </c>
      <c r="M50"/>
      <c r="N50"/>
    </row>
    <row r="51" spans="1:19" s="7" customFormat="1" x14ac:dyDescent="0.25">
      <c r="A51" s="3">
        <v>36</v>
      </c>
      <c r="B51" s="3" t="s">
        <v>228</v>
      </c>
      <c r="C51" s="3" t="s">
        <v>229</v>
      </c>
      <c r="D51" s="3">
        <v>10</v>
      </c>
      <c r="E51" s="3">
        <v>10</v>
      </c>
      <c r="F51" s="3">
        <v>19</v>
      </c>
      <c r="G51" s="3">
        <f t="shared" si="0"/>
        <v>23.4</v>
      </c>
      <c r="H51" s="3">
        <v>29</v>
      </c>
      <c r="I51" s="3">
        <f>H51+G51</f>
        <v>52.4</v>
      </c>
      <c r="J51" s="3">
        <v>28.5</v>
      </c>
      <c r="K51" s="3">
        <f>I51+J51</f>
        <v>80.900000000000006</v>
      </c>
      <c r="L51" s="3">
        <f t="shared" si="1"/>
        <v>16.2</v>
      </c>
      <c r="M51"/>
      <c r="N51"/>
    </row>
    <row r="52" spans="1:19" s="7" customFormat="1" x14ac:dyDescent="0.25">
      <c r="A52" s="3">
        <v>37</v>
      </c>
      <c r="B52" s="3" t="s">
        <v>230</v>
      </c>
      <c r="C52" s="3" t="s">
        <v>231</v>
      </c>
      <c r="D52" s="3">
        <v>10</v>
      </c>
      <c r="E52" s="3">
        <v>18</v>
      </c>
      <c r="F52" s="3">
        <v>18</v>
      </c>
      <c r="G52" s="3">
        <f t="shared" si="0"/>
        <v>27.6</v>
      </c>
      <c r="H52" s="3">
        <v>21</v>
      </c>
      <c r="I52" s="3">
        <f>H52+G52</f>
        <v>48.6</v>
      </c>
      <c r="J52" s="3">
        <v>26</v>
      </c>
      <c r="K52" s="3">
        <f>I52+J52</f>
        <v>74.599999999999994</v>
      </c>
      <c r="L52" s="3">
        <f t="shared" si="1"/>
        <v>14.9</v>
      </c>
      <c r="M52"/>
      <c r="N52"/>
    </row>
    <row r="53" spans="1:19" s="7" customFormat="1" x14ac:dyDescent="0.25">
      <c r="A53" s="3">
        <v>38</v>
      </c>
      <c r="B53" s="3" t="s">
        <v>232</v>
      </c>
      <c r="C53" s="3" t="s">
        <v>233</v>
      </c>
      <c r="D53" s="3">
        <v>10</v>
      </c>
      <c r="E53" s="3">
        <v>18</v>
      </c>
      <c r="F53" s="3">
        <v>19</v>
      </c>
      <c r="G53" s="3">
        <f t="shared" si="0"/>
        <v>28.2</v>
      </c>
      <c r="H53" s="3">
        <v>29</v>
      </c>
      <c r="I53" s="3">
        <f>H53+G53</f>
        <v>57.2</v>
      </c>
      <c r="J53" s="3">
        <v>35.5</v>
      </c>
      <c r="K53" s="3">
        <f>I53+J53</f>
        <v>92.7</v>
      </c>
      <c r="L53" s="3">
        <f t="shared" si="1"/>
        <v>18.5</v>
      </c>
      <c r="M53"/>
      <c r="N53"/>
    </row>
    <row r="54" spans="1:19" s="7" customFormat="1" x14ac:dyDescent="0.25">
      <c r="A54" s="3">
        <v>39</v>
      </c>
      <c r="B54" s="3" t="s">
        <v>234</v>
      </c>
      <c r="C54" s="3" t="s">
        <v>235</v>
      </c>
      <c r="D54" s="3">
        <v>10</v>
      </c>
      <c r="E54" s="3">
        <v>18</v>
      </c>
      <c r="F54" s="3">
        <v>10</v>
      </c>
      <c r="G54" s="3">
        <f t="shared" si="0"/>
        <v>22.8</v>
      </c>
      <c r="H54" s="3">
        <v>3</v>
      </c>
      <c r="I54" s="3">
        <f>H54+G54</f>
        <v>25.8</v>
      </c>
      <c r="J54" s="3">
        <v>30.5</v>
      </c>
      <c r="K54" s="3">
        <f>I54+J54</f>
        <v>56.3</v>
      </c>
      <c r="L54" s="3">
        <f t="shared" si="1"/>
        <v>11.3</v>
      </c>
      <c r="M54"/>
      <c r="N54"/>
    </row>
    <row r="55" spans="1:19" s="7" customFormat="1" x14ac:dyDescent="0.25">
      <c r="A55" s="3">
        <v>40</v>
      </c>
      <c r="B55" s="3" t="s">
        <v>236</v>
      </c>
      <c r="C55" s="3" t="s">
        <v>237</v>
      </c>
      <c r="D55" s="3">
        <v>10</v>
      </c>
      <c r="E55" s="3">
        <v>17</v>
      </c>
      <c r="F55" s="3">
        <v>18</v>
      </c>
      <c r="G55" s="3">
        <f t="shared" si="0"/>
        <v>27</v>
      </c>
      <c r="H55" s="3">
        <v>24</v>
      </c>
      <c r="I55" s="3">
        <f>H55+G55</f>
        <v>51</v>
      </c>
      <c r="J55" s="3">
        <v>31.5</v>
      </c>
      <c r="K55" s="3">
        <f>I55+J55</f>
        <v>82.5</v>
      </c>
      <c r="L55" s="3">
        <f t="shared" si="1"/>
        <v>16.5</v>
      </c>
      <c r="M55"/>
      <c r="N55"/>
    </row>
    <row r="56" spans="1:19" s="7" customFormat="1" x14ac:dyDescent="0.25">
      <c r="A56" s="3">
        <v>41</v>
      </c>
      <c r="B56" s="3" t="s">
        <v>238</v>
      </c>
      <c r="C56" s="3" t="s">
        <v>239</v>
      </c>
      <c r="D56" s="3">
        <v>10</v>
      </c>
      <c r="E56" s="3">
        <v>17</v>
      </c>
      <c r="F56" s="3">
        <v>14</v>
      </c>
      <c r="G56" s="3">
        <f t="shared" si="0"/>
        <v>24.6</v>
      </c>
      <c r="H56" s="3">
        <v>27</v>
      </c>
      <c r="I56" s="3">
        <f>H56+G56</f>
        <v>51.6</v>
      </c>
      <c r="J56" s="3">
        <v>33</v>
      </c>
      <c r="K56" s="3">
        <f>I56+J56</f>
        <v>84.6</v>
      </c>
      <c r="L56" s="3">
        <f t="shared" si="1"/>
        <v>16.899999999999999</v>
      </c>
      <c r="M56"/>
      <c r="N56"/>
      <c r="O56"/>
      <c r="P56"/>
    </row>
    <row r="57" spans="1:19" s="7" customFormat="1" x14ac:dyDescent="0.25">
      <c r="A57" s="3">
        <v>42</v>
      </c>
      <c r="B57" s="3" t="s">
        <v>240</v>
      </c>
      <c r="C57" s="3" t="s">
        <v>241</v>
      </c>
      <c r="D57" s="3">
        <v>10</v>
      </c>
      <c r="E57" s="3">
        <v>18</v>
      </c>
      <c r="F57" s="3">
        <v>14</v>
      </c>
      <c r="G57" s="3">
        <f t="shared" si="0"/>
        <v>25.2</v>
      </c>
      <c r="H57" s="3">
        <v>28</v>
      </c>
      <c r="I57" s="3">
        <f>H57+G57</f>
        <v>53.2</v>
      </c>
      <c r="J57" s="3">
        <v>33</v>
      </c>
      <c r="K57" s="3">
        <f>I57+J57</f>
        <v>86.2</v>
      </c>
      <c r="L57" s="3">
        <f t="shared" si="1"/>
        <v>17.2</v>
      </c>
      <c r="M57"/>
      <c r="N57"/>
    </row>
    <row r="58" spans="1:19" s="7" customFormat="1" x14ac:dyDescent="0.25">
      <c r="A58" s="3">
        <v>43</v>
      </c>
      <c r="B58" s="3" t="s">
        <v>242</v>
      </c>
      <c r="C58" s="3" t="s">
        <v>243</v>
      </c>
      <c r="D58" s="3">
        <v>10</v>
      </c>
      <c r="E58" s="3">
        <v>17</v>
      </c>
      <c r="F58" s="3">
        <v>14</v>
      </c>
      <c r="G58" s="3">
        <f t="shared" si="0"/>
        <v>24.6</v>
      </c>
      <c r="H58" s="3">
        <v>22</v>
      </c>
      <c r="I58" s="3">
        <f>H58+G58</f>
        <v>46.6</v>
      </c>
      <c r="J58" s="3">
        <v>23.5</v>
      </c>
      <c r="K58" s="3">
        <f>I58+J58</f>
        <v>70.099999999999994</v>
      </c>
      <c r="L58" s="3">
        <f t="shared" si="1"/>
        <v>14</v>
      </c>
      <c r="M58"/>
      <c r="N58"/>
      <c r="O58"/>
      <c r="P58"/>
      <c r="Q58"/>
      <c r="R58"/>
      <c r="S58"/>
    </row>
    <row r="59" spans="1:19" s="7" customFormat="1" x14ac:dyDescent="0.25">
      <c r="A59" s="3">
        <v>44</v>
      </c>
      <c r="B59" s="3" t="s">
        <v>244</v>
      </c>
      <c r="C59" s="3" t="s">
        <v>245</v>
      </c>
      <c r="D59" s="3">
        <v>5</v>
      </c>
      <c r="E59" s="3">
        <v>10</v>
      </c>
      <c r="F59" s="3">
        <v>17</v>
      </c>
      <c r="G59" s="3">
        <f t="shared" si="0"/>
        <v>19.2</v>
      </c>
      <c r="H59" s="3">
        <v>11</v>
      </c>
      <c r="I59" s="3">
        <f>H59+G59</f>
        <v>30.2</v>
      </c>
      <c r="J59" s="3">
        <v>17</v>
      </c>
      <c r="K59" s="3">
        <f>I59+J59</f>
        <v>47.2</v>
      </c>
      <c r="L59" s="3">
        <f t="shared" si="1"/>
        <v>9.4</v>
      </c>
      <c r="M59"/>
      <c r="N59"/>
      <c r="O59"/>
      <c r="P59"/>
      <c r="Q59"/>
      <c r="R59"/>
      <c r="S59"/>
    </row>
    <row r="60" spans="1:19" s="7" customFormat="1" x14ac:dyDescent="0.25">
      <c r="A60" s="3">
        <v>45</v>
      </c>
      <c r="B60" s="3" t="s">
        <v>246</v>
      </c>
      <c r="C60" s="3" t="s">
        <v>247</v>
      </c>
      <c r="D60" s="3">
        <v>5</v>
      </c>
      <c r="E60" s="3">
        <v>10</v>
      </c>
      <c r="F60" s="3">
        <v>19</v>
      </c>
      <c r="G60" s="3">
        <f t="shared" si="0"/>
        <v>20.399999999999999</v>
      </c>
      <c r="H60" s="3">
        <v>29</v>
      </c>
      <c r="I60" s="3">
        <f>H60+G60</f>
        <v>49.4</v>
      </c>
      <c r="J60" s="3">
        <v>22</v>
      </c>
      <c r="K60" s="3">
        <f>I60+J60</f>
        <v>71.400000000000006</v>
      </c>
      <c r="L60" s="3">
        <f t="shared" si="1"/>
        <v>14.3</v>
      </c>
      <c r="M60"/>
      <c r="N60"/>
      <c r="O60"/>
      <c r="P60"/>
      <c r="Q60"/>
      <c r="R60"/>
      <c r="S60"/>
    </row>
    <row r="61" spans="1:19" s="7" customFormat="1" x14ac:dyDescent="0.25">
      <c r="A61" s="3">
        <v>46</v>
      </c>
      <c r="B61" s="3" t="s">
        <v>248</v>
      </c>
      <c r="C61" s="3" t="s">
        <v>249</v>
      </c>
      <c r="D61" s="3">
        <v>5</v>
      </c>
      <c r="E61" s="3">
        <v>18</v>
      </c>
      <c r="F61" s="3">
        <v>10</v>
      </c>
      <c r="G61" s="3">
        <f t="shared" si="0"/>
        <v>19.8</v>
      </c>
      <c r="H61" s="3">
        <v>15</v>
      </c>
      <c r="I61" s="3">
        <f>H61+G61</f>
        <v>34.799999999999997</v>
      </c>
      <c r="J61" s="3">
        <v>28</v>
      </c>
      <c r="K61" s="3">
        <f>I61+J61</f>
        <v>62.8</v>
      </c>
      <c r="L61" s="3">
        <f t="shared" si="1"/>
        <v>12.6</v>
      </c>
      <c r="M61"/>
      <c r="N61"/>
      <c r="O61"/>
      <c r="P61"/>
      <c r="Q61"/>
      <c r="R61"/>
      <c r="S61"/>
    </row>
    <row r="62" spans="1:19" s="7" customFormat="1" x14ac:dyDescent="0.25">
      <c r="A62" s="3">
        <v>47</v>
      </c>
      <c r="B62" s="3" t="s">
        <v>250</v>
      </c>
      <c r="C62" s="3" t="s">
        <v>251</v>
      </c>
      <c r="D62" s="3">
        <v>10</v>
      </c>
      <c r="E62" s="3">
        <v>18</v>
      </c>
      <c r="F62" s="3">
        <v>10</v>
      </c>
      <c r="G62" s="3">
        <f t="shared" si="0"/>
        <v>22.8</v>
      </c>
      <c r="H62" s="3">
        <v>26</v>
      </c>
      <c r="I62" s="3">
        <f>H62+G62</f>
        <v>48.8</v>
      </c>
      <c r="J62" s="3">
        <v>36</v>
      </c>
      <c r="K62" s="3">
        <f>I62+J62</f>
        <v>84.8</v>
      </c>
      <c r="L62" s="3">
        <f t="shared" si="1"/>
        <v>17</v>
      </c>
      <c r="M62"/>
      <c r="N62"/>
      <c r="O62"/>
      <c r="P62"/>
      <c r="Q62"/>
      <c r="R62"/>
      <c r="S62"/>
    </row>
    <row r="63" spans="1:19" s="7" customFormat="1" x14ac:dyDescent="0.25">
      <c r="A63" s="3">
        <v>48</v>
      </c>
      <c r="B63" s="3" t="s">
        <v>252</v>
      </c>
      <c r="C63" s="3" t="s">
        <v>253</v>
      </c>
      <c r="D63" s="3">
        <v>10</v>
      </c>
      <c r="E63" s="3">
        <v>18</v>
      </c>
      <c r="F63" s="3">
        <v>19</v>
      </c>
      <c r="G63" s="3">
        <f t="shared" si="0"/>
        <v>28.2</v>
      </c>
      <c r="H63" s="3">
        <v>24</v>
      </c>
      <c r="I63" s="3">
        <f>H63+G63</f>
        <v>52.2</v>
      </c>
      <c r="J63" s="3">
        <v>35.5</v>
      </c>
      <c r="K63" s="3">
        <f>I63+J63</f>
        <v>87.7</v>
      </c>
      <c r="L63" s="3">
        <f t="shared" si="1"/>
        <v>17.5</v>
      </c>
      <c r="M63"/>
      <c r="N63"/>
      <c r="O63"/>
      <c r="P63"/>
      <c r="Q63"/>
      <c r="R63"/>
      <c r="S63"/>
    </row>
    <row r="64" spans="1:19" s="7" customFormat="1" x14ac:dyDescent="0.25">
      <c r="A64" s="3">
        <v>49</v>
      </c>
      <c r="B64" s="3" t="s">
        <v>254</v>
      </c>
      <c r="C64" s="3" t="s">
        <v>255</v>
      </c>
      <c r="D64" s="3">
        <v>5</v>
      </c>
      <c r="E64" s="3">
        <v>17</v>
      </c>
      <c r="F64" s="3">
        <v>14</v>
      </c>
      <c r="G64" s="3">
        <f t="shared" si="0"/>
        <v>21.6</v>
      </c>
      <c r="H64" s="3">
        <v>10</v>
      </c>
      <c r="I64" s="3">
        <f>H64+G64</f>
        <v>31.6</v>
      </c>
      <c r="J64" s="3">
        <v>25.5</v>
      </c>
      <c r="K64" s="3">
        <f>I64+J64</f>
        <v>57.1</v>
      </c>
      <c r="L64" s="3">
        <f t="shared" si="1"/>
        <v>11.4</v>
      </c>
      <c r="M64"/>
      <c r="N64"/>
      <c r="O64"/>
      <c r="P64"/>
      <c r="Q64"/>
      <c r="R64"/>
      <c r="S64"/>
    </row>
    <row r="65" spans="1:19" s="7" customFormat="1" x14ac:dyDescent="0.25">
      <c r="A65" s="3">
        <v>50</v>
      </c>
      <c r="B65" s="3" t="s">
        <v>256</v>
      </c>
      <c r="C65" s="3" t="s">
        <v>257</v>
      </c>
      <c r="D65" s="3">
        <v>10</v>
      </c>
      <c r="E65" s="3">
        <v>10</v>
      </c>
      <c r="F65" s="3">
        <v>17</v>
      </c>
      <c r="G65" s="3">
        <f t="shared" si="0"/>
        <v>22.2</v>
      </c>
      <c r="H65" s="3">
        <v>25</v>
      </c>
      <c r="I65" s="3">
        <f>H65+G65</f>
        <v>47.2</v>
      </c>
      <c r="J65" s="3">
        <v>25</v>
      </c>
      <c r="K65" s="3">
        <f>I65+J65</f>
        <v>72.2</v>
      </c>
      <c r="L65" s="3">
        <f t="shared" si="1"/>
        <v>14.4</v>
      </c>
      <c r="M65"/>
      <c r="N65"/>
      <c r="O65"/>
      <c r="P65"/>
      <c r="Q65"/>
      <c r="R65"/>
      <c r="S65"/>
    </row>
    <row r="66" spans="1:19" s="7" customFormat="1" x14ac:dyDescent="0.25">
      <c r="A66" s="3">
        <v>51</v>
      </c>
      <c r="B66" s="3" t="s">
        <v>258</v>
      </c>
      <c r="C66" s="3" t="s">
        <v>259</v>
      </c>
      <c r="D66" s="3">
        <v>10</v>
      </c>
      <c r="E66" s="3">
        <v>18</v>
      </c>
      <c r="F66" s="3">
        <v>14</v>
      </c>
      <c r="G66" s="3">
        <f t="shared" si="0"/>
        <v>25.2</v>
      </c>
      <c r="H66" s="3">
        <v>19</v>
      </c>
      <c r="I66" s="3">
        <f>H66+G66</f>
        <v>44.2</v>
      </c>
      <c r="J66" s="3">
        <v>39</v>
      </c>
      <c r="K66" s="3">
        <f>I66+J66</f>
        <v>83.2</v>
      </c>
      <c r="L66" s="3">
        <f t="shared" si="1"/>
        <v>16.600000000000001</v>
      </c>
      <c r="M66"/>
      <c r="N66"/>
      <c r="O66"/>
      <c r="P66"/>
      <c r="Q66"/>
      <c r="R66"/>
      <c r="S66"/>
    </row>
    <row r="67" spans="1:19" s="7" customFormat="1" x14ac:dyDescent="0.25">
      <c r="A67" s="3">
        <v>52</v>
      </c>
      <c r="B67" s="3" t="s">
        <v>260</v>
      </c>
      <c r="C67" s="3" t="s">
        <v>261</v>
      </c>
      <c r="D67" s="3">
        <v>10</v>
      </c>
      <c r="E67" s="3">
        <v>17</v>
      </c>
      <c r="F67" s="3">
        <v>14</v>
      </c>
      <c r="G67" s="3">
        <f t="shared" si="0"/>
        <v>24.6</v>
      </c>
      <c r="H67" s="25"/>
      <c r="I67" s="3">
        <f>H67+G67</f>
        <v>24.6</v>
      </c>
      <c r="J67" s="30">
        <v>31</v>
      </c>
      <c r="K67" s="42" t="s">
        <v>538</v>
      </c>
      <c r="L67" s="42" t="s">
        <v>538</v>
      </c>
      <c r="M67"/>
      <c r="N67"/>
      <c r="O67"/>
      <c r="P67"/>
      <c r="Q67"/>
      <c r="R67"/>
      <c r="S67"/>
    </row>
    <row r="68" spans="1:19" s="7" customFormat="1" x14ac:dyDescent="0.25">
      <c r="A68" s="3">
        <v>53</v>
      </c>
      <c r="B68" s="3" t="s">
        <v>262</v>
      </c>
      <c r="C68" s="3" t="s">
        <v>263</v>
      </c>
      <c r="D68" s="3">
        <v>10</v>
      </c>
      <c r="E68" s="3">
        <v>10</v>
      </c>
      <c r="F68" s="3">
        <v>19</v>
      </c>
      <c r="G68" s="3">
        <f t="shared" si="0"/>
        <v>23.4</v>
      </c>
      <c r="H68" s="3">
        <v>27</v>
      </c>
      <c r="I68" s="3">
        <f>H68+G68</f>
        <v>50.4</v>
      </c>
      <c r="J68" s="3">
        <v>37.5</v>
      </c>
      <c r="K68" s="3">
        <f>I68+J68</f>
        <v>87.9</v>
      </c>
      <c r="L68" s="3">
        <f t="shared" si="1"/>
        <v>17.600000000000001</v>
      </c>
      <c r="M68"/>
      <c r="N68"/>
      <c r="O68"/>
      <c r="P68"/>
      <c r="Q68"/>
      <c r="R68"/>
      <c r="S68"/>
    </row>
    <row r="69" spans="1:19" s="7" customFormat="1" x14ac:dyDescent="0.25">
      <c r="A69" s="3">
        <v>54</v>
      </c>
      <c r="B69" s="3" t="s">
        <v>264</v>
      </c>
      <c r="C69" s="3" t="s">
        <v>265</v>
      </c>
      <c r="D69" s="3">
        <v>5</v>
      </c>
      <c r="E69" s="3">
        <v>18</v>
      </c>
      <c r="F69" s="3">
        <v>10</v>
      </c>
      <c r="G69" s="3">
        <f t="shared" si="0"/>
        <v>19.8</v>
      </c>
      <c r="H69" s="3">
        <v>21</v>
      </c>
      <c r="I69" s="3">
        <f>H69+G69</f>
        <v>40.799999999999997</v>
      </c>
      <c r="J69" s="3">
        <v>26.5</v>
      </c>
      <c r="K69" s="3">
        <f>I69+J69</f>
        <v>67.3</v>
      </c>
      <c r="L69" s="3">
        <f t="shared" si="1"/>
        <v>13.5</v>
      </c>
      <c r="M69"/>
      <c r="N69"/>
    </row>
    <row r="70" spans="1:19" s="7" customFormat="1" x14ac:dyDescent="0.25">
      <c r="A70" s="3">
        <v>55</v>
      </c>
      <c r="B70" s="3" t="s">
        <v>266</v>
      </c>
      <c r="C70" s="3" t="s">
        <v>267</v>
      </c>
      <c r="D70" s="3">
        <v>10</v>
      </c>
      <c r="E70" s="3">
        <v>18</v>
      </c>
      <c r="F70" s="3">
        <v>10</v>
      </c>
      <c r="G70" s="3">
        <f t="shared" si="0"/>
        <v>22.8</v>
      </c>
      <c r="H70" s="3">
        <v>16</v>
      </c>
      <c r="I70" s="3">
        <f>H70+G70</f>
        <v>38.799999999999997</v>
      </c>
      <c r="J70" s="3">
        <v>29.5</v>
      </c>
      <c r="K70" s="3">
        <f>I70+J70</f>
        <v>68.3</v>
      </c>
      <c r="L70" s="3">
        <f t="shared" si="1"/>
        <v>13.7</v>
      </c>
      <c r="M70"/>
      <c r="N70"/>
    </row>
    <row r="71" spans="1:19" s="7" customFormat="1" x14ac:dyDescent="0.25">
      <c r="A71" s="3">
        <v>56</v>
      </c>
      <c r="B71" s="3" t="s">
        <v>268</v>
      </c>
      <c r="C71" s="3" t="s">
        <v>269</v>
      </c>
      <c r="D71" s="3">
        <v>10</v>
      </c>
      <c r="E71" s="3">
        <v>10</v>
      </c>
      <c r="F71" s="3">
        <v>17</v>
      </c>
      <c r="G71" s="3">
        <f t="shared" si="0"/>
        <v>22.2</v>
      </c>
      <c r="H71" s="3">
        <v>29</v>
      </c>
      <c r="I71" s="3">
        <f>H71+G71</f>
        <v>51.2</v>
      </c>
      <c r="J71" s="3">
        <v>39</v>
      </c>
      <c r="K71" s="3">
        <f>I71+J71</f>
        <v>90.2</v>
      </c>
      <c r="L71" s="3">
        <f t="shared" si="1"/>
        <v>18</v>
      </c>
      <c r="M71"/>
      <c r="N71"/>
    </row>
    <row r="72" spans="1:19" s="7" customFormat="1" x14ac:dyDescent="0.25">
      <c r="A72" s="3">
        <v>57</v>
      </c>
      <c r="B72" s="3" t="s">
        <v>270</v>
      </c>
      <c r="C72" s="3" t="s">
        <v>271</v>
      </c>
      <c r="D72" s="3">
        <v>5</v>
      </c>
      <c r="E72" s="3">
        <v>10</v>
      </c>
      <c r="F72" s="3">
        <v>10</v>
      </c>
      <c r="G72" s="3">
        <f t="shared" si="0"/>
        <v>15</v>
      </c>
      <c r="H72" s="3">
        <v>19</v>
      </c>
      <c r="I72" s="3">
        <f>H72+G72</f>
        <v>34</v>
      </c>
      <c r="J72" s="3">
        <v>31.5</v>
      </c>
      <c r="K72" s="3">
        <f>I72+J72</f>
        <v>65.5</v>
      </c>
      <c r="L72" s="3">
        <f t="shared" si="1"/>
        <v>13.1</v>
      </c>
      <c r="M72"/>
      <c r="N72"/>
    </row>
    <row r="73" spans="1:19" s="7" customFormat="1" x14ac:dyDescent="0.25">
      <c r="A73" s="3">
        <v>58</v>
      </c>
      <c r="B73" s="3" t="s">
        <v>272</v>
      </c>
      <c r="C73" s="3" t="s">
        <v>273</v>
      </c>
      <c r="D73" s="3">
        <v>10</v>
      </c>
      <c r="E73" s="3">
        <v>10</v>
      </c>
      <c r="F73" s="3">
        <v>10</v>
      </c>
      <c r="G73" s="3">
        <f t="shared" si="0"/>
        <v>18</v>
      </c>
      <c r="H73" s="3">
        <v>14</v>
      </c>
      <c r="I73" s="3">
        <f>H73+G73</f>
        <v>32</v>
      </c>
      <c r="J73" s="3">
        <v>31.5</v>
      </c>
      <c r="K73" s="3">
        <f>I73+J73</f>
        <v>63.5</v>
      </c>
      <c r="L73" s="3">
        <f t="shared" si="1"/>
        <v>12.7</v>
      </c>
      <c r="M73"/>
      <c r="N73"/>
    </row>
    <row r="74" spans="1:19" s="7" customFormat="1" x14ac:dyDescent="0.25">
      <c r="A74" s="3">
        <v>59</v>
      </c>
      <c r="B74" s="3" t="s">
        <v>274</v>
      </c>
      <c r="C74" s="3" t="s">
        <v>275</v>
      </c>
      <c r="D74" s="3">
        <v>10</v>
      </c>
      <c r="E74" s="3">
        <v>10</v>
      </c>
      <c r="F74" s="3">
        <v>10</v>
      </c>
      <c r="G74" s="3">
        <f t="shared" si="0"/>
        <v>18</v>
      </c>
      <c r="H74" s="3">
        <v>16</v>
      </c>
      <c r="I74" s="3">
        <f>H74+G74</f>
        <v>34</v>
      </c>
      <c r="J74" s="3">
        <v>29.5</v>
      </c>
      <c r="K74" s="3">
        <f>I74+J74</f>
        <v>63.5</v>
      </c>
      <c r="L74" s="3">
        <f t="shared" si="1"/>
        <v>12.7</v>
      </c>
      <c r="M74"/>
      <c r="N74"/>
    </row>
    <row r="75" spans="1:19" s="7" customFormat="1" x14ac:dyDescent="0.25">
      <c r="A75" s="3">
        <v>60</v>
      </c>
      <c r="B75" s="3" t="s">
        <v>276</v>
      </c>
      <c r="C75" s="3" t="s">
        <v>277</v>
      </c>
      <c r="D75" s="3">
        <v>10</v>
      </c>
      <c r="E75" s="3">
        <v>18</v>
      </c>
      <c r="F75" s="3">
        <v>10</v>
      </c>
      <c r="G75" s="3">
        <f t="shared" si="0"/>
        <v>22.8</v>
      </c>
      <c r="H75" s="3">
        <v>23</v>
      </c>
      <c r="I75" s="3">
        <f>H75+G75</f>
        <v>45.8</v>
      </c>
      <c r="J75" s="3">
        <v>32</v>
      </c>
      <c r="K75" s="3">
        <f>I75+J75</f>
        <v>77.8</v>
      </c>
      <c r="L75" s="3">
        <f t="shared" si="1"/>
        <v>15.6</v>
      </c>
      <c r="M75"/>
      <c r="N75"/>
    </row>
    <row r="76" spans="1:19" s="7" customFormat="1" x14ac:dyDescent="0.25">
      <c r="A76" s="3">
        <v>61</v>
      </c>
      <c r="B76" s="3" t="s">
        <v>278</v>
      </c>
      <c r="C76" s="3" t="s">
        <v>279</v>
      </c>
      <c r="D76" s="3">
        <v>10</v>
      </c>
      <c r="E76" s="3">
        <v>18</v>
      </c>
      <c r="F76" s="3">
        <v>14</v>
      </c>
      <c r="G76" s="3">
        <f t="shared" si="0"/>
        <v>25.2</v>
      </c>
      <c r="H76" s="3">
        <v>17.5</v>
      </c>
      <c r="I76" s="3">
        <f>H76+G76</f>
        <v>42.7</v>
      </c>
      <c r="J76" s="3">
        <v>32.5</v>
      </c>
      <c r="K76" s="3">
        <f>I76+J76</f>
        <v>75.2</v>
      </c>
      <c r="L76" s="3">
        <f t="shared" si="1"/>
        <v>15</v>
      </c>
      <c r="M76"/>
      <c r="N76"/>
    </row>
    <row r="77" spans="1:19" s="7" customFormat="1" x14ac:dyDescent="0.25">
      <c r="A77" s="3">
        <v>62</v>
      </c>
      <c r="B77" s="3" t="s">
        <v>280</v>
      </c>
      <c r="C77" s="3" t="s">
        <v>281</v>
      </c>
      <c r="D77" s="3">
        <v>10</v>
      </c>
      <c r="E77" s="3">
        <v>18</v>
      </c>
      <c r="F77" s="3">
        <v>10</v>
      </c>
      <c r="G77" s="3">
        <f t="shared" si="0"/>
        <v>22.8</v>
      </c>
      <c r="H77" s="3">
        <v>12</v>
      </c>
      <c r="I77" s="3">
        <f>H77+G77</f>
        <v>34.799999999999997</v>
      </c>
      <c r="J77" s="3">
        <v>26.5</v>
      </c>
      <c r="K77" s="3">
        <f>I77+J77</f>
        <v>61.3</v>
      </c>
      <c r="L77" s="3">
        <f t="shared" si="1"/>
        <v>12.3</v>
      </c>
      <c r="M77"/>
      <c r="N77"/>
    </row>
    <row r="78" spans="1:19" s="7" customFormat="1" x14ac:dyDescent="0.25">
      <c r="A78" s="30">
        <v>63</v>
      </c>
      <c r="B78" s="38">
        <v>28478</v>
      </c>
      <c r="C78" s="39" t="s">
        <v>282</v>
      </c>
      <c r="D78" s="30">
        <v>10</v>
      </c>
      <c r="E78" s="30">
        <v>10</v>
      </c>
      <c r="F78" s="30">
        <v>10</v>
      </c>
      <c r="G78" s="30">
        <f t="shared" si="0"/>
        <v>18</v>
      </c>
      <c r="H78" s="30">
        <v>19</v>
      </c>
      <c r="I78" s="30">
        <f>H78+G78</f>
        <v>37</v>
      </c>
      <c r="J78" s="30">
        <v>33</v>
      </c>
      <c r="K78" s="30">
        <f>I78+J78</f>
        <v>70</v>
      </c>
      <c r="L78" s="3">
        <f t="shared" si="1"/>
        <v>14</v>
      </c>
    </row>
    <row r="79" spans="1:19" s="7" customFormat="1" x14ac:dyDescent="0.25">
      <c r="A79" s="30">
        <v>64</v>
      </c>
      <c r="B79" s="38">
        <v>28455</v>
      </c>
      <c r="C79" s="30" t="s">
        <v>283</v>
      </c>
      <c r="D79" s="30">
        <v>10</v>
      </c>
      <c r="E79" s="30">
        <v>18</v>
      </c>
      <c r="F79" s="30">
        <v>16</v>
      </c>
      <c r="G79" s="30">
        <f t="shared" si="0"/>
        <v>26.4</v>
      </c>
      <c r="H79" s="30">
        <v>24</v>
      </c>
      <c r="I79" s="30">
        <f>H79+G79</f>
        <v>50.4</v>
      </c>
      <c r="J79" s="30">
        <v>35.5</v>
      </c>
      <c r="K79" s="30">
        <f>I79+J79</f>
        <v>85.9</v>
      </c>
      <c r="L79" s="3">
        <f t="shared" si="1"/>
        <v>17.2</v>
      </c>
    </row>
    <row r="80" spans="1:19" x14ac:dyDescent="0.25">
      <c r="B80" s="34" t="s">
        <v>6</v>
      </c>
      <c r="C80" s="34"/>
      <c r="D80" s="34"/>
      <c r="E80" s="34"/>
      <c r="F80" s="34"/>
      <c r="G80" s="34"/>
      <c r="H80" s="34"/>
      <c r="I80" s="34"/>
      <c r="J80" s="34"/>
      <c r="K80" s="34"/>
    </row>
    <row r="81" spans="1:14" x14ac:dyDescent="0.25">
      <c r="A81" s="5" t="s">
        <v>1</v>
      </c>
      <c r="B81" s="5" t="s">
        <v>10</v>
      </c>
      <c r="C81" s="5" t="s">
        <v>9</v>
      </c>
      <c r="D81" s="36"/>
      <c r="E81" s="37"/>
      <c r="F81" s="35" t="s">
        <v>7</v>
      </c>
      <c r="G81" s="36"/>
      <c r="H81" s="36"/>
      <c r="I81" s="36"/>
      <c r="J81" s="36"/>
      <c r="K81" s="36"/>
      <c r="L81" s="6"/>
    </row>
    <row r="82" spans="1:14" x14ac:dyDescent="0.25">
      <c r="A82" s="5">
        <v>1</v>
      </c>
      <c r="B82" s="5"/>
      <c r="C82" s="5"/>
      <c r="D82" s="36"/>
      <c r="E82" s="37"/>
      <c r="F82" s="35"/>
      <c r="G82" s="36"/>
      <c r="H82" s="36"/>
      <c r="I82" s="36"/>
      <c r="J82" s="36"/>
      <c r="K82" s="37"/>
      <c r="L82" s="6"/>
    </row>
    <row r="83" spans="1:14" x14ac:dyDescent="0.25">
      <c r="A83" s="5"/>
      <c r="B83" s="5"/>
      <c r="C83" s="5"/>
      <c r="D83" s="36"/>
      <c r="E83" s="37"/>
      <c r="F83" s="35"/>
      <c r="G83" s="36"/>
      <c r="H83" s="36"/>
      <c r="I83" s="36"/>
      <c r="J83" s="36"/>
      <c r="K83" s="37"/>
      <c r="L83" s="6"/>
    </row>
    <row r="86" spans="1:14" ht="21" x14ac:dyDescent="0.35">
      <c r="F86" s="8" t="s">
        <v>11</v>
      </c>
    </row>
    <row r="87" spans="1:14" x14ac:dyDescent="0.25">
      <c r="F87" s="9"/>
    </row>
    <row r="88" spans="1:14" ht="77.25" customHeight="1" x14ac:dyDescent="0.25">
      <c r="D88" s="31"/>
      <c r="E88" s="31"/>
      <c r="F88" s="31"/>
      <c r="G88" s="31"/>
      <c r="H88" s="29"/>
      <c r="I88" s="29"/>
      <c r="J88" s="32" t="s">
        <v>12</v>
      </c>
      <c r="K88" s="33"/>
      <c r="L88" s="10" t="s">
        <v>13</v>
      </c>
      <c r="M88" s="10" t="s">
        <v>14</v>
      </c>
      <c r="N88" s="10" t="s">
        <v>15</v>
      </c>
    </row>
    <row r="89" spans="1:14" ht="39" x14ac:dyDescent="0.25">
      <c r="D89" s="22" t="s">
        <v>16</v>
      </c>
      <c r="E89" s="11" t="s">
        <v>17</v>
      </c>
      <c r="F89" s="11" t="s">
        <v>18</v>
      </c>
      <c r="G89" s="11" t="s">
        <v>19</v>
      </c>
      <c r="H89" s="11"/>
      <c r="I89" s="11"/>
      <c r="J89" s="12" t="s">
        <v>20</v>
      </c>
      <c r="K89" s="12" t="s">
        <v>21</v>
      </c>
      <c r="L89" s="13"/>
      <c r="M89" s="13"/>
      <c r="N89" s="13"/>
    </row>
    <row r="90" spans="1:14" x14ac:dyDescent="0.25">
      <c r="D90" s="23">
        <f>COUNTIF(L19:L79,"&gt;=14")-COUNTIF(L19:L79,"&gt;=15.99")</f>
        <v>16</v>
      </c>
      <c r="E90" s="13">
        <f>COUNTIF(L19:L79,"&gt;=12")-COUNTIF(L19:L79,"&gt;=13.99")</f>
        <v>19</v>
      </c>
      <c r="F90" s="13">
        <f>COUNTIF(L19:L79,"&gt;=10")-COUNTIF(L19:L79,"&gt;=11.9")</f>
        <v>4</v>
      </c>
      <c r="G90" s="13">
        <f>COUNTIF(L19:L79,"&lt;10")</f>
        <v>2</v>
      </c>
      <c r="H90" s="13"/>
      <c r="I90" s="13"/>
      <c r="J90" s="13">
        <f>COUNTBLANK(H16:H79)</f>
        <v>1</v>
      </c>
      <c r="K90" s="13">
        <f>COUNTBLANK(J16:J79)</f>
        <v>2</v>
      </c>
      <c r="L90" s="13"/>
      <c r="M90" s="13">
        <f>ROWS(A16:A79)</f>
        <v>64</v>
      </c>
      <c r="N90" s="13"/>
    </row>
    <row r="91" spans="1:14" x14ac:dyDescent="0.25">
      <c r="D91" s="2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 spans="1:14" x14ac:dyDescent="0.25">
      <c r="D92" s="2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x14ac:dyDescent="0.25">
      <c r="D93" s="2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5" spans="1:14" ht="18.75" x14ac:dyDescent="0.3">
      <c r="B95" s="14" t="s">
        <v>22</v>
      </c>
      <c r="E95" s="15" t="s">
        <v>23</v>
      </c>
      <c r="L95" s="14" t="s">
        <v>24</v>
      </c>
    </row>
    <row r="96" spans="1:14" x14ac:dyDescent="0.25">
      <c r="E96" s="16"/>
    </row>
    <row r="98" spans="2:5" ht="26.45" customHeight="1" x14ac:dyDescent="0.25">
      <c r="C98" s="24">
        <v>45689</v>
      </c>
      <c r="E98" s="24"/>
    </row>
    <row r="99" spans="2:5" x14ac:dyDescent="0.25">
      <c r="B99" s="2" t="s">
        <v>539</v>
      </c>
    </row>
  </sheetData>
  <mergeCells count="9">
    <mergeCell ref="D88:G88"/>
    <mergeCell ref="J88:K88"/>
    <mergeCell ref="B80:K80"/>
    <mergeCell ref="D81:E81"/>
    <mergeCell ref="F81:K81"/>
    <mergeCell ref="D82:E82"/>
    <mergeCell ref="F82:K82"/>
    <mergeCell ref="D83:E83"/>
    <mergeCell ref="F83:K83"/>
  </mergeCells>
  <conditionalFormatting sqref="K16:K17 K19:K32 K34:K66 K68:K79">
    <cfRule type="cellIs" dxfId="21" priority="7" operator="lessThan">
      <formula>50</formula>
    </cfRule>
  </conditionalFormatting>
  <conditionalFormatting sqref="L16:L17 L19:L32 L34:L66 L68:L79">
    <cfRule type="cellIs" dxfId="20" priority="8" operator="lessThan">
      <formula>10</formula>
    </cfRule>
  </conditionalFormatting>
  <conditionalFormatting sqref="K18">
    <cfRule type="cellIs" dxfId="19" priority="6" operator="lessThan">
      <formula>50</formula>
    </cfRule>
  </conditionalFormatting>
  <conditionalFormatting sqref="L18">
    <cfRule type="cellIs" dxfId="18" priority="5" operator="lessThan">
      <formula>50</formula>
    </cfRule>
  </conditionalFormatting>
  <conditionalFormatting sqref="K33">
    <cfRule type="cellIs" dxfId="17" priority="4" operator="lessThan">
      <formula>50</formula>
    </cfRule>
  </conditionalFormatting>
  <conditionalFormatting sqref="L33">
    <cfRule type="cellIs" dxfId="16" priority="3" operator="lessThan">
      <formula>50</formula>
    </cfRule>
  </conditionalFormatting>
  <conditionalFormatting sqref="K67">
    <cfRule type="cellIs" dxfId="15" priority="2" operator="lessThan">
      <formula>50</formula>
    </cfRule>
  </conditionalFormatting>
  <conditionalFormatting sqref="L67">
    <cfRule type="cellIs" dxfId="14" priority="1" operator="lessThan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E703-D0FB-43E4-B29A-7B1769CF683F}">
  <dimension ref="A1:S104"/>
  <sheetViews>
    <sheetView topLeftCell="A16" workbookViewId="0">
      <selection activeCell="M77" sqref="M77:M78"/>
    </sheetView>
  </sheetViews>
  <sheetFormatPr defaultColWidth="9.140625" defaultRowHeight="15" x14ac:dyDescent="0.25"/>
  <cols>
    <col min="1" max="1" width="5.5703125" customWidth="1"/>
    <col min="2" max="2" width="7.28515625" customWidth="1"/>
    <col min="3" max="3" width="36.5703125" bestFit="1" customWidth="1"/>
    <col min="4" max="4" width="5.7109375" style="7" customWidth="1"/>
    <col min="5" max="5" width="5.140625" customWidth="1"/>
    <col min="6" max="6" width="5.28515625" customWidth="1"/>
    <col min="7" max="8" width="5.42578125" customWidth="1"/>
    <col min="9" max="9" width="7.5703125" customWidth="1"/>
    <col min="10" max="10" width="7.140625" customWidth="1"/>
    <col min="11" max="11" width="7.5703125" customWidth="1"/>
    <col min="12" max="12" width="7" customWidth="1"/>
  </cols>
  <sheetData>
    <row r="1" spans="1:12" s="1" customFormat="1" x14ac:dyDescent="0.25">
      <c r="D1" s="19"/>
    </row>
    <row r="2" spans="1:12" s="1" customFormat="1" x14ac:dyDescent="0.25">
      <c r="D2" s="19"/>
    </row>
    <row r="3" spans="1:12" s="1" customFormat="1" x14ac:dyDescent="0.25">
      <c r="D3" s="19"/>
    </row>
    <row r="4" spans="1:12" s="1" customFormat="1" x14ac:dyDescent="0.25">
      <c r="D4" s="19"/>
    </row>
    <row r="5" spans="1:12" s="1" customFormat="1" x14ac:dyDescent="0.25">
      <c r="D5" s="19"/>
    </row>
    <row r="6" spans="1:12" s="1" customFormat="1" x14ac:dyDescent="0.25">
      <c r="D6" s="19"/>
    </row>
    <row r="7" spans="1:12" s="1" customFormat="1" x14ac:dyDescent="0.25">
      <c r="A7" s="1" t="s">
        <v>8</v>
      </c>
      <c r="D7" s="20" t="s">
        <v>157</v>
      </c>
      <c r="E7" s="2"/>
      <c r="F7" s="2"/>
      <c r="G7" s="2"/>
      <c r="H7" s="2"/>
      <c r="I7" s="2"/>
      <c r="J7" s="2"/>
    </row>
    <row r="8" spans="1:12" s="1" customFormat="1" x14ac:dyDescent="0.25">
      <c r="A8" s="1" t="s">
        <v>0</v>
      </c>
      <c r="D8" s="19" t="s">
        <v>26</v>
      </c>
    </row>
    <row r="9" spans="1:12" s="1" customFormat="1" x14ac:dyDescent="0.25">
      <c r="A9" s="1" t="s">
        <v>155</v>
      </c>
      <c r="D9" s="19" t="s">
        <v>27</v>
      </c>
    </row>
    <row r="10" spans="1:12" s="1" customFormat="1" x14ac:dyDescent="0.25">
      <c r="A10" s="1" t="s">
        <v>154</v>
      </c>
      <c r="D10" s="19" t="s">
        <v>28</v>
      </c>
    </row>
    <row r="11" spans="1:12" s="1" customFormat="1" x14ac:dyDescent="0.25">
      <c r="A11" s="1" t="s">
        <v>29</v>
      </c>
      <c r="D11" s="19" t="s">
        <v>534</v>
      </c>
    </row>
    <row r="12" spans="1:12" s="1" customFormat="1" x14ac:dyDescent="0.25">
      <c r="D12" s="19"/>
    </row>
    <row r="13" spans="1:12" s="1" customFormat="1" x14ac:dyDescent="0.25">
      <c r="C13" s="2" t="s">
        <v>25</v>
      </c>
      <c r="D13" s="19"/>
    </row>
    <row r="14" spans="1:12" s="1" customFormat="1" x14ac:dyDescent="0.25">
      <c r="D14" s="19"/>
    </row>
    <row r="15" spans="1:12" ht="92.25" x14ac:dyDescent="0.25">
      <c r="A15" s="3" t="s">
        <v>1</v>
      </c>
      <c r="B15" s="3" t="s">
        <v>2</v>
      </c>
      <c r="C15" s="3" t="s">
        <v>3</v>
      </c>
      <c r="D15" s="21" t="s">
        <v>150</v>
      </c>
      <c r="E15" s="4" t="s">
        <v>151</v>
      </c>
      <c r="F15" s="4" t="s">
        <v>152</v>
      </c>
      <c r="G15" s="4" t="s">
        <v>536</v>
      </c>
      <c r="H15" s="4" t="s">
        <v>153</v>
      </c>
      <c r="I15" s="4" t="s">
        <v>537</v>
      </c>
      <c r="J15" s="4" t="s">
        <v>4</v>
      </c>
      <c r="K15" s="4" t="s">
        <v>532</v>
      </c>
      <c r="L15" s="4" t="s">
        <v>5</v>
      </c>
    </row>
    <row r="16" spans="1:12" x14ac:dyDescent="0.25">
      <c r="A16" s="3">
        <v>1</v>
      </c>
      <c r="B16" s="3" t="s">
        <v>284</v>
      </c>
      <c r="C16" s="3" t="s">
        <v>285</v>
      </c>
      <c r="D16" s="3">
        <v>10</v>
      </c>
      <c r="E16" s="3">
        <v>18</v>
      </c>
      <c r="F16" s="3">
        <v>17</v>
      </c>
      <c r="G16" s="3">
        <f>(D16+E16+F16)*30/50</f>
        <v>27</v>
      </c>
      <c r="H16" s="3">
        <v>20</v>
      </c>
      <c r="I16" s="3">
        <f>H16+G16</f>
        <v>47</v>
      </c>
      <c r="J16" s="3">
        <v>26</v>
      </c>
      <c r="K16" s="3">
        <f>I16+J16</f>
        <v>73</v>
      </c>
      <c r="L16" s="3">
        <f>ROUND(K16*20/100,1)</f>
        <v>14.6</v>
      </c>
    </row>
    <row r="17" spans="1:12" x14ac:dyDescent="0.25">
      <c r="A17" s="3">
        <v>2</v>
      </c>
      <c r="B17" s="3" t="s">
        <v>286</v>
      </c>
      <c r="C17" s="3" t="s">
        <v>287</v>
      </c>
      <c r="D17" s="3">
        <v>10</v>
      </c>
      <c r="E17" s="3">
        <v>15</v>
      </c>
      <c r="F17" s="3">
        <v>17</v>
      </c>
      <c r="G17" s="3">
        <f t="shared" ref="G17:G80" si="0">(D17+E17+F17)*30/50</f>
        <v>25.2</v>
      </c>
      <c r="H17" s="3">
        <v>28</v>
      </c>
      <c r="I17" s="3">
        <f>H17+G17</f>
        <v>53.2</v>
      </c>
      <c r="J17" s="3">
        <v>26</v>
      </c>
      <c r="K17" s="3">
        <f>I17+J17</f>
        <v>79.2</v>
      </c>
      <c r="L17" s="3">
        <f t="shared" ref="L17:L80" si="1">ROUND(K17*20/100,1)</f>
        <v>15.8</v>
      </c>
    </row>
    <row r="18" spans="1:12" x14ac:dyDescent="0.25">
      <c r="A18" s="3">
        <v>3</v>
      </c>
      <c r="B18" s="3" t="s">
        <v>288</v>
      </c>
      <c r="C18" s="3" t="s">
        <v>289</v>
      </c>
      <c r="D18" s="3">
        <v>10</v>
      </c>
      <c r="E18" s="3">
        <v>17</v>
      </c>
      <c r="F18" s="3">
        <v>17</v>
      </c>
      <c r="G18" s="3">
        <f t="shared" si="0"/>
        <v>26.4</v>
      </c>
      <c r="H18" s="3">
        <v>23</v>
      </c>
      <c r="I18" s="3">
        <f>H18+G18</f>
        <v>49.4</v>
      </c>
      <c r="J18" s="3">
        <v>36</v>
      </c>
      <c r="K18" s="3">
        <f t="shared" ref="K18:K80" si="2">I18+J18</f>
        <v>85.4</v>
      </c>
      <c r="L18" s="3">
        <f t="shared" si="1"/>
        <v>17.100000000000001</v>
      </c>
    </row>
    <row r="19" spans="1:12" x14ac:dyDescent="0.25">
      <c r="A19" s="3">
        <v>4</v>
      </c>
      <c r="B19" s="3" t="s">
        <v>290</v>
      </c>
      <c r="C19" s="3" t="s">
        <v>291</v>
      </c>
      <c r="D19" s="3">
        <v>10</v>
      </c>
      <c r="E19" s="3">
        <v>15</v>
      </c>
      <c r="F19" s="3">
        <v>17</v>
      </c>
      <c r="G19" s="3">
        <f t="shared" si="0"/>
        <v>25.2</v>
      </c>
      <c r="H19" s="3">
        <v>12</v>
      </c>
      <c r="I19" s="3">
        <f>H19+G19</f>
        <v>37.200000000000003</v>
      </c>
      <c r="J19" s="3">
        <v>24</v>
      </c>
      <c r="K19" s="3">
        <f t="shared" si="2"/>
        <v>61.2</v>
      </c>
      <c r="L19" s="3">
        <f t="shared" si="1"/>
        <v>12.2</v>
      </c>
    </row>
    <row r="20" spans="1:12" x14ac:dyDescent="0.25">
      <c r="A20" s="3">
        <v>5</v>
      </c>
      <c r="B20" s="3" t="s">
        <v>292</v>
      </c>
      <c r="C20" s="3" t="s">
        <v>293</v>
      </c>
      <c r="D20" s="3">
        <v>10</v>
      </c>
      <c r="E20" s="3">
        <v>17</v>
      </c>
      <c r="F20" s="3">
        <v>17</v>
      </c>
      <c r="G20" s="3">
        <f t="shared" si="0"/>
        <v>26.4</v>
      </c>
      <c r="H20" s="3">
        <v>10</v>
      </c>
      <c r="I20" s="3">
        <f>H20+G20</f>
        <v>36.4</v>
      </c>
      <c r="J20" s="3">
        <v>18.5</v>
      </c>
      <c r="K20" s="3">
        <f t="shared" si="2"/>
        <v>54.9</v>
      </c>
      <c r="L20" s="3">
        <f t="shared" si="1"/>
        <v>11</v>
      </c>
    </row>
    <row r="21" spans="1:12" x14ac:dyDescent="0.25">
      <c r="A21" s="3">
        <v>6</v>
      </c>
      <c r="B21" s="3" t="s">
        <v>294</v>
      </c>
      <c r="C21" s="3" t="s">
        <v>295</v>
      </c>
      <c r="D21" s="3">
        <v>10</v>
      </c>
      <c r="E21" s="3">
        <v>17</v>
      </c>
      <c r="F21" s="3">
        <v>10</v>
      </c>
      <c r="G21" s="3">
        <f t="shared" si="0"/>
        <v>22.2</v>
      </c>
      <c r="H21" s="3">
        <v>23</v>
      </c>
      <c r="I21" s="3">
        <f>H21+G21</f>
        <v>45.2</v>
      </c>
      <c r="J21" s="3">
        <v>12</v>
      </c>
      <c r="K21" s="3">
        <f t="shared" si="2"/>
        <v>57.2</v>
      </c>
      <c r="L21" s="3">
        <f t="shared" si="1"/>
        <v>11.4</v>
      </c>
    </row>
    <row r="22" spans="1:12" x14ac:dyDescent="0.25">
      <c r="A22" s="3">
        <v>7</v>
      </c>
      <c r="B22" s="3" t="s">
        <v>296</v>
      </c>
      <c r="C22" s="3" t="s">
        <v>297</v>
      </c>
      <c r="D22" s="3">
        <v>10</v>
      </c>
      <c r="E22" s="3">
        <v>18</v>
      </c>
      <c r="F22" s="3">
        <v>14</v>
      </c>
      <c r="G22" s="3">
        <f t="shared" si="0"/>
        <v>25.2</v>
      </c>
      <c r="H22" s="3">
        <v>15</v>
      </c>
      <c r="I22" s="3">
        <f>H22+G22</f>
        <v>40.200000000000003</v>
      </c>
      <c r="J22" s="3">
        <v>21</v>
      </c>
      <c r="K22" s="3">
        <f t="shared" si="2"/>
        <v>61.2</v>
      </c>
      <c r="L22" s="3">
        <f t="shared" si="1"/>
        <v>12.2</v>
      </c>
    </row>
    <row r="23" spans="1:12" x14ac:dyDescent="0.25">
      <c r="A23" s="3">
        <v>8</v>
      </c>
      <c r="B23" s="3" t="s">
        <v>298</v>
      </c>
      <c r="C23" s="3" t="s">
        <v>299</v>
      </c>
      <c r="D23" s="3">
        <v>10</v>
      </c>
      <c r="E23" s="3">
        <v>10</v>
      </c>
      <c r="F23" s="3">
        <v>13</v>
      </c>
      <c r="G23" s="3">
        <f t="shared" si="0"/>
        <v>19.8</v>
      </c>
      <c r="H23" s="3">
        <v>26</v>
      </c>
      <c r="I23" s="3">
        <f>H23+G23</f>
        <v>45.8</v>
      </c>
      <c r="J23" s="3">
        <v>27.5</v>
      </c>
      <c r="K23" s="3">
        <f t="shared" si="2"/>
        <v>73.3</v>
      </c>
      <c r="L23" s="3">
        <f t="shared" si="1"/>
        <v>14.7</v>
      </c>
    </row>
    <row r="24" spans="1:12" x14ac:dyDescent="0.25">
      <c r="A24" s="3">
        <v>9</v>
      </c>
      <c r="B24" s="3" t="s">
        <v>300</v>
      </c>
      <c r="C24" s="3" t="s">
        <v>301</v>
      </c>
      <c r="D24" s="3">
        <v>10</v>
      </c>
      <c r="E24" s="3">
        <v>18</v>
      </c>
      <c r="F24" s="3">
        <v>10</v>
      </c>
      <c r="G24" s="3">
        <f t="shared" si="0"/>
        <v>22.8</v>
      </c>
      <c r="H24" s="3">
        <v>14</v>
      </c>
      <c r="I24" s="3">
        <f>H24+G24</f>
        <v>36.799999999999997</v>
      </c>
      <c r="J24" s="3">
        <v>27</v>
      </c>
      <c r="K24" s="3">
        <f t="shared" si="2"/>
        <v>63.8</v>
      </c>
      <c r="L24" s="3">
        <f t="shared" si="1"/>
        <v>12.8</v>
      </c>
    </row>
    <row r="25" spans="1:12" x14ac:dyDescent="0.25">
      <c r="A25" s="3">
        <v>10</v>
      </c>
      <c r="B25" s="3" t="s">
        <v>302</v>
      </c>
      <c r="C25" s="3" t="s">
        <v>303</v>
      </c>
      <c r="D25" s="3">
        <v>10</v>
      </c>
      <c r="E25" s="3">
        <v>18</v>
      </c>
      <c r="F25" s="3">
        <v>17</v>
      </c>
      <c r="G25" s="3">
        <f t="shared" si="0"/>
        <v>27</v>
      </c>
      <c r="H25" s="3">
        <v>14</v>
      </c>
      <c r="I25" s="3">
        <f>H25+G25</f>
        <v>41</v>
      </c>
      <c r="J25" s="3">
        <v>20</v>
      </c>
      <c r="K25" s="3">
        <f t="shared" si="2"/>
        <v>61</v>
      </c>
      <c r="L25" s="3">
        <f t="shared" si="1"/>
        <v>12.2</v>
      </c>
    </row>
    <row r="26" spans="1:12" ht="14.25" customHeight="1" x14ac:dyDescent="0.25">
      <c r="A26" s="3">
        <v>11</v>
      </c>
      <c r="B26" s="3" t="s">
        <v>304</v>
      </c>
      <c r="C26" s="3" t="s">
        <v>305</v>
      </c>
      <c r="D26" s="3">
        <v>10</v>
      </c>
      <c r="E26" s="3">
        <v>18</v>
      </c>
      <c r="F26" s="3">
        <v>17</v>
      </c>
      <c r="G26" s="3">
        <f t="shared" si="0"/>
        <v>27</v>
      </c>
      <c r="H26" s="3">
        <v>7</v>
      </c>
      <c r="I26" s="3">
        <f>H26+G26</f>
        <v>34</v>
      </c>
      <c r="J26" s="3">
        <v>26</v>
      </c>
      <c r="K26" s="3">
        <f t="shared" si="2"/>
        <v>60</v>
      </c>
      <c r="L26" s="3">
        <f t="shared" si="1"/>
        <v>12</v>
      </c>
    </row>
    <row r="27" spans="1:12" x14ac:dyDescent="0.25">
      <c r="A27" s="3">
        <v>12</v>
      </c>
      <c r="B27" s="3" t="s">
        <v>306</v>
      </c>
      <c r="C27" s="3" t="s">
        <v>307</v>
      </c>
      <c r="D27" s="3">
        <v>10</v>
      </c>
      <c r="E27" s="3">
        <v>18</v>
      </c>
      <c r="F27" s="3">
        <v>17</v>
      </c>
      <c r="G27" s="3">
        <f t="shared" si="0"/>
        <v>27</v>
      </c>
      <c r="H27" s="3">
        <v>23</v>
      </c>
      <c r="I27" s="3">
        <f>H27+G27</f>
        <v>50</v>
      </c>
      <c r="J27" s="3">
        <v>32</v>
      </c>
      <c r="K27" s="3">
        <f t="shared" si="2"/>
        <v>82</v>
      </c>
      <c r="L27" s="3">
        <f t="shared" si="1"/>
        <v>16.399999999999999</v>
      </c>
    </row>
    <row r="28" spans="1:12" x14ac:dyDescent="0.25">
      <c r="A28" s="3">
        <v>13</v>
      </c>
      <c r="B28" s="3" t="s">
        <v>308</v>
      </c>
      <c r="C28" s="3" t="s">
        <v>309</v>
      </c>
      <c r="D28" s="3">
        <v>10</v>
      </c>
      <c r="E28" s="3">
        <v>15</v>
      </c>
      <c r="F28" s="3">
        <v>14</v>
      </c>
      <c r="G28" s="3">
        <f t="shared" si="0"/>
        <v>23.4</v>
      </c>
      <c r="H28" s="3">
        <v>19</v>
      </c>
      <c r="I28" s="3">
        <f>H28+G28</f>
        <v>42.4</v>
      </c>
      <c r="J28" s="3">
        <v>26</v>
      </c>
      <c r="K28" s="3">
        <f t="shared" si="2"/>
        <v>68.400000000000006</v>
      </c>
      <c r="L28" s="3">
        <f t="shared" si="1"/>
        <v>13.7</v>
      </c>
    </row>
    <row r="29" spans="1:12" x14ac:dyDescent="0.25">
      <c r="A29" s="3">
        <v>14</v>
      </c>
      <c r="B29" s="3" t="s">
        <v>310</v>
      </c>
      <c r="C29" s="3" t="s">
        <v>311</v>
      </c>
      <c r="D29" s="3">
        <v>10</v>
      </c>
      <c r="E29" s="3">
        <v>17</v>
      </c>
      <c r="F29" s="3">
        <v>19</v>
      </c>
      <c r="G29" s="3">
        <f t="shared" si="0"/>
        <v>27.6</v>
      </c>
      <c r="H29" s="3">
        <v>19</v>
      </c>
      <c r="I29" s="3">
        <f>H29+G29</f>
        <v>46.6</v>
      </c>
      <c r="J29" s="3">
        <v>30</v>
      </c>
      <c r="K29" s="3">
        <f t="shared" si="2"/>
        <v>76.599999999999994</v>
      </c>
      <c r="L29" s="3">
        <f t="shared" si="1"/>
        <v>15.3</v>
      </c>
    </row>
    <row r="30" spans="1:12" x14ac:dyDescent="0.25">
      <c r="A30" s="3">
        <v>15</v>
      </c>
      <c r="B30" s="3" t="s">
        <v>312</v>
      </c>
      <c r="C30" s="3" t="s">
        <v>313</v>
      </c>
      <c r="D30" s="3">
        <v>5</v>
      </c>
      <c r="E30" s="3">
        <v>18</v>
      </c>
      <c r="F30" s="3">
        <v>17</v>
      </c>
      <c r="G30" s="3">
        <f t="shared" si="0"/>
        <v>24</v>
      </c>
      <c r="H30" s="3">
        <v>9</v>
      </c>
      <c r="I30" s="3">
        <f>H30+G30</f>
        <v>33</v>
      </c>
      <c r="J30" s="3">
        <v>13</v>
      </c>
      <c r="K30" s="3">
        <f t="shared" si="2"/>
        <v>46</v>
      </c>
      <c r="L30" s="3">
        <f t="shared" si="1"/>
        <v>9.1999999999999993</v>
      </c>
    </row>
    <row r="31" spans="1:12" x14ac:dyDescent="0.25">
      <c r="A31" s="3">
        <v>16</v>
      </c>
      <c r="B31" s="3" t="s">
        <v>314</v>
      </c>
      <c r="C31" s="3" t="s">
        <v>315</v>
      </c>
      <c r="D31" s="3">
        <v>10</v>
      </c>
      <c r="E31" s="3">
        <v>18</v>
      </c>
      <c r="F31" s="3">
        <v>17</v>
      </c>
      <c r="G31" s="3">
        <f t="shared" si="0"/>
        <v>27</v>
      </c>
      <c r="H31" s="3">
        <v>20</v>
      </c>
      <c r="I31" s="3">
        <f>H31+G31</f>
        <v>47</v>
      </c>
      <c r="J31" s="3">
        <v>28.5</v>
      </c>
      <c r="K31" s="3">
        <f t="shared" si="2"/>
        <v>75.5</v>
      </c>
      <c r="L31" s="3">
        <f t="shared" si="1"/>
        <v>15.1</v>
      </c>
    </row>
    <row r="32" spans="1:12" x14ac:dyDescent="0.25">
      <c r="A32" s="3">
        <v>17</v>
      </c>
      <c r="B32" s="3" t="s">
        <v>316</v>
      </c>
      <c r="C32" s="3" t="s">
        <v>317</v>
      </c>
      <c r="D32" s="3">
        <v>10</v>
      </c>
      <c r="E32" s="3">
        <v>18</v>
      </c>
      <c r="F32" s="3">
        <v>10</v>
      </c>
      <c r="G32" s="3">
        <f t="shared" si="0"/>
        <v>22.8</v>
      </c>
      <c r="H32" s="3">
        <v>27</v>
      </c>
      <c r="I32" s="3">
        <f>H32+G32</f>
        <v>49.8</v>
      </c>
      <c r="J32" s="3">
        <v>19.5</v>
      </c>
      <c r="K32" s="3">
        <f t="shared" si="2"/>
        <v>69.3</v>
      </c>
      <c r="L32" s="3">
        <f t="shared" si="1"/>
        <v>13.9</v>
      </c>
    </row>
    <row r="33" spans="1:16" x14ac:dyDescent="0.25">
      <c r="A33" s="3">
        <v>18</v>
      </c>
      <c r="B33" s="3" t="s">
        <v>318</v>
      </c>
      <c r="C33" s="3" t="s">
        <v>319</v>
      </c>
      <c r="D33" s="3">
        <v>10</v>
      </c>
      <c r="E33" s="3">
        <v>10</v>
      </c>
      <c r="F33" s="3">
        <v>18</v>
      </c>
      <c r="G33" s="3">
        <f t="shared" si="0"/>
        <v>22.8</v>
      </c>
      <c r="H33" s="3">
        <v>26</v>
      </c>
      <c r="I33" s="3">
        <f>H33+G33</f>
        <v>48.8</v>
      </c>
      <c r="J33" s="3">
        <v>28.5</v>
      </c>
      <c r="K33" s="3">
        <f t="shared" si="2"/>
        <v>77.3</v>
      </c>
      <c r="L33" s="3">
        <f t="shared" si="1"/>
        <v>15.5</v>
      </c>
    </row>
    <row r="34" spans="1:16" ht="16.5" customHeight="1" x14ac:dyDescent="0.25">
      <c r="A34" s="3">
        <v>19</v>
      </c>
      <c r="B34" s="3" t="s">
        <v>320</v>
      </c>
      <c r="C34" s="3" t="s">
        <v>321</v>
      </c>
      <c r="D34" s="3">
        <v>5</v>
      </c>
      <c r="E34" s="3">
        <v>18</v>
      </c>
      <c r="F34" s="3">
        <v>14</v>
      </c>
      <c r="G34" s="3">
        <f t="shared" si="0"/>
        <v>22.2</v>
      </c>
      <c r="H34" s="3">
        <v>16</v>
      </c>
      <c r="I34" s="3">
        <f>H34+G34</f>
        <v>38.200000000000003</v>
      </c>
      <c r="J34" s="3">
        <v>26.5</v>
      </c>
      <c r="K34" s="3">
        <f t="shared" si="2"/>
        <v>64.7</v>
      </c>
      <c r="L34" s="3">
        <f t="shared" si="1"/>
        <v>12.9</v>
      </c>
    </row>
    <row r="35" spans="1:16" x14ac:dyDescent="0.25">
      <c r="A35" s="3">
        <v>20</v>
      </c>
      <c r="B35" s="3" t="s">
        <v>322</v>
      </c>
      <c r="C35" s="3" t="s">
        <v>323</v>
      </c>
      <c r="D35" s="3">
        <v>5</v>
      </c>
      <c r="E35" s="3">
        <v>10</v>
      </c>
      <c r="F35" s="3">
        <v>13</v>
      </c>
      <c r="G35" s="3">
        <f t="shared" si="0"/>
        <v>16.8</v>
      </c>
      <c r="H35" s="3">
        <v>8</v>
      </c>
      <c r="I35" s="3">
        <f>H35+G35</f>
        <v>24.8</v>
      </c>
      <c r="J35" s="3">
        <v>21</v>
      </c>
      <c r="K35" s="3">
        <f t="shared" si="2"/>
        <v>45.8</v>
      </c>
      <c r="L35" s="3">
        <f t="shared" si="1"/>
        <v>9.1999999999999993</v>
      </c>
    </row>
    <row r="36" spans="1:16" x14ac:dyDescent="0.25">
      <c r="A36" s="3">
        <v>21</v>
      </c>
      <c r="B36" s="3" t="s">
        <v>324</v>
      </c>
      <c r="C36" s="3" t="s">
        <v>325</v>
      </c>
      <c r="D36" s="3">
        <v>10</v>
      </c>
      <c r="E36" s="3">
        <v>17</v>
      </c>
      <c r="F36" s="3">
        <v>17</v>
      </c>
      <c r="G36" s="3">
        <f t="shared" si="0"/>
        <v>26.4</v>
      </c>
      <c r="H36" s="25"/>
      <c r="I36" s="3">
        <f>H36+G36</f>
        <v>26.4</v>
      </c>
      <c r="J36" s="3">
        <v>20.5</v>
      </c>
      <c r="K36" s="42" t="s">
        <v>538</v>
      </c>
      <c r="L36" s="42" t="s">
        <v>538</v>
      </c>
    </row>
    <row r="37" spans="1:16" x14ac:dyDescent="0.25">
      <c r="A37" s="3">
        <v>22</v>
      </c>
      <c r="B37" s="3" t="s">
        <v>326</v>
      </c>
      <c r="C37" s="3" t="s">
        <v>327</v>
      </c>
      <c r="D37" s="3">
        <v>10</v>
      </c>
      <c r="E37" s="3">
        <v>17</v>
      </c>
      <c r="F37" s="3">
        <v>10</v>
      </c>
      <c r="G37" s="3">
        <f t="shared" si="0"/>
        <v>22.2</v>
      </c>
      <c r="H37" s="3">
        <v>27</v>
      </c>
      <c r="I37" s="3">
        <f>H37+G37</f>
        <v>49.2</v>
      </c>
      <c r="J37" s="3">
        <v>33</v>
      </c>
      <c r="K37" s="3">
        <f t="shared" si="2"/>
        <v>82.2</v>
      </c>
      <c r="L37" s="3">
        <f t="shared" si="1"/>
        <v>16.399999999999999</v>
      </c>
    </row>
    <row r="38" spans="1:16" x14ac:dyDescent="0.25">
      <c r="A38" s="3">
        <v>23</v>
      </c>
      <c r="B38" s="3" t="s">
        <v>328</v>
      </c>
      <c r="C38" s="3" t="s">
        <v>329</v>
      </c>
      <c r="D38" s="3">
        <v>10</v>
      </c>
      <c r="E38" s="3">
        <v>17</v>
      </c>
      <c r="F38" s="3">
        <v>18</v>
      </c>
      <c r="G38" s="3">
        <f t="shared" si="0"/>
        <v>27</v>
      </c>
      <c r="H38" s="3">
        <v>15</v>
      </c>
      <c r="I38" s="3">
        <f>H38+G38</f>
        <v>42</v>
      </c>
      <c r="J38" s="3">
        <v>20.5</v>
      </c>
      <c r="K38" s="3">
        <f t="shared" si="2"/>
        <v>62.5</v>
      </c>
      <c r="L38" s="3">
        <f t="shared" si="1"/>
        <v>12.5</v>
      </c>
    </row>
    <row r="39" spans="1:16" x14ac:dyDescent="0.25">
      <c r="A39" s="3">
        <v>24</v>
      </c>
      <c r="B39" s="3" t="s">
        <v>330</v>
      </c>
      <c r="C39" s="3" t="s">
        <v>331</v>
      </c>
      <c r="D39" s="3">
        <v>10</v>
      </c>
      <c r="E39" s="3">
        <v>17</v>
      </c>
      <c r="F39" s="3">
        <v>10</v>
      </c>
      <c r="G39" s="3">
        <f t="shared" si="0"/>
        <v>22.2</v>
      </c>
      <c r="H39" s="3">
        <v>16</v>
      </c>
      <c r="I39" s="3">
        <f>H39+G39</f>
        <v>38.200000000000003</v>
      </c>
      <c r="J39" s="3">
        <v>28.5</v>
      </c>
      <c r="K39" s="3">
        <f t="shared" si="2"/>
        <v>66.7</v>
      </c>
      <c r="L39" s="3">
        <f t="shared" si="1"/>
        <v>13.3</v>
      </c>
    </row>
    <row r="40" spans="1:16" x14ac:dyDescent="0.25">
      <c r="A40" s="3">
        <v>25</v>
      </c>
      <c r="B40" s="3" t="s">
        <v>332</v>
      </c>
      <c r="C40" s="3" t="s">
        <v>333</v>
      </c>
      <c r="D40" s="3">
        <v>10</v>
      </c>
      <c r="E40" s="3">
        <v>17</v>
      </c>
      <c r="F40" s="3">
        <v>19</v>
      </c>
      <c r="G40" s="3">
        <f t="shared" si="0"/>
        <v>27.6</v>
      </c>
      <c r="H40" s="3">
        <v>23</v>
      </c>
      <c r="I40" s="3">
        <f>H40+G40</f>
        <v>50.6</v>
      </c>
      <c r="J40" s="3">
        <v>29.5</v>
      </c>
      <c r="K40" s="3">
        <f t="shared" si="2"/>
        <v>80.099999999999994</v>
      </c>
      <c r="L40" s="3">
        <f t="shared" si="1"/>
        <v>16</v>
      </c>
    </row>
    <row r="41" spans="1:16" x14ac:dyDescent="0.25">
      <c r="A41" s="3">
        <v>26</v>
      </c>
      <c r="B41" s="3" t="s">
        <v>334</v>
      </c>
      <c r="C41" s="3" t="s">
        <v>335</v>
      </c>
      <c r="D41" s="3">
        <v>10</v>
      </c>
      <c r="E41" s="3">
        <v>15</v>
      </c>
      <c r="F41" s="3">
        <v>17</v>
      </c>
      <c r="G41" s="3">
        <f t="shared" si="0"/>
        <v>25.2</v>
      </c>
      <c r="H41" s="3">
        <v>23</v>
      </c>
      <c r="I41" s="3">
        <f>H41+G41</f>
        <v>48.2</v>
      </c>
      <c r="J41" s="3">
        <v>38</v>
      </c>
      <c r="K41" s="3">
        <f t="shared" si="2"/>
        <v>86.2</v>
      </c>
      <c r="L41" s="3">
        <f t="shared" si="1"/>
        <v>17.2</v>
      </c>
    </row>
    <row r="42" spans="1:16" x14ac:dyDescent="0.25">
      <c r="A42" s="3">
        <v>27</v>
      </c>
      <c r="B42" s="3" t="s">
        <v>336</v>
      </c>
      <c r="C42" s="3" t="s">
        <v>337</v>
      </c>
      <c r="D42" s="3">
        <v>10</v>
      </c>
      <c r="E42" s="3">
        <v>17</v>
      </c>
      <c r="F42" s="3">
        <v>10</v>
      </c>
      <c r="G42" s="3">
        <f t="shared" si="0"/>
        <v>22.2</v>
      </c>
      <c r="H42" s="3">
        <v>21</v>
      </c>
      <c r="I42" s="3">
        <f>H42+G42</f>
        <v>43.2</v>
      </c>
      <c r="J42" s="3">
        <v>34.5</v>
      </c>
      <c r="K42" s="3">
        <f t="shared" si="2"/>
        <v>77.7</v>
      </c>
      <c r="L42" s="3">
        <f t="shared" si="1"/>
        <v>15.5</v>
      </c>
    </row>
    <row r="43" spans="1:16" x14ac:dyDescent="0.25">
      <c r="A43" s="3">
        <v>28</v>
      </c>
      <c r="B43" s="3" t="s">
        <v>338</v>
      </c>
      <c r="C43" s="3" t="s">
        <v>339</v>
      </c>
      <c r="D43" s="3">
        <v>5</v>
      </c>
      <c r="E43" s="3">
        <v>18</v>
      </c>
      <c r="F43" s="3">
        <v>10</v>
      </c>
      <c r="G43" s="3">
        <f t="shared" si="0"/>
        <v>19.8</v>
      </c>
      <c r="H43" s="3">
        <v>13</v>
      </c>
      <c r="I43" s="3">
        <f>H43+G43</f>
        <v>32.799999999999997</v>
      </c>
      <c r="J43" s="3">
        <v>18</v>
      </c>
      <c r="K43" s="3">
        <f t="shared" si="2"/>
        <v>50.8</v>
      </c>
      <c r="L43" s="3">
        <f t="shared" si="1"/>
        <v>10.199999999999999</v>
      </c>
    </row>
    <row r="44" spans="1:16" x14ac:dyDescent="0.25">
      <c r="A44" s="3">
        <v>29</v>
      </c>
      <c r="B44" s="3" t="s">
        <v>340</v>
      </c>
      <c r="C44" s="3" t="s">
        <v>341</v>
      </c>
      <c r="D44" s="3">
        <v>10</v>
      </c>
      <c r="E44" s="3">
        <v>10</v>
      </c>
      <c r="F44" s="3">
        <v>19</v>
      </c>
      <c r="G44" s="3">
        <f t="shared" si="0"/>
        <v>23.4</v>
      </c>
      <c r="H44" s="3">
        <v>17</v>
      </c>
      <c r="I44" s="3">
        <f>H44+G44</f>
        <v>40.4</v>
      </c>
      <c r="J44" s="3">
        <v>25.5</v>
      </c>
      <c r="K44" s="3">
        <f t="shared" si="2"/>
        <v>65.900000000000006</v>
      </c>
      <c r="L44" s="3">
        <f t="shared" si="1"/>
        <v>13.2</v>
      </c>
    </row>
    <row r="45" spans="1:16" x14ac:dyDescent="0.25">
      <c r="A45" s="3">
        <v>30</v>
      </c>
      <c r="B45" s="3" t="s">
        <v>342</v>
      </c>
      <c r="C45" s="3" t="s">
        <v>343</v>
      </c>
      <c r="D45" s="3">
        <v>10</v>
      </c>
      <c r="E45" s="3">
        <v>15</v>
      </c>
      <c r="F45" s="3">
        <v>19</v>
      </c>
      <c r="G45" s="3">
        <f t="shared" si="0"/>
        <v>26.4</v>
      </c>
      <c r="H45" s="3">
        <v>18</v>
      </c>
      <c r="I45" s="3">
        <f>H45+G45</f>
        <v>44.4</v>
      </c>
      <c r="J45" s="3">
        <v>26.5</v>
      </c>
      <c r="K45" s="3">
        <f t="shared" si="2"/>
        <v>70.900000000000006</v>
      </c>
      <c r="L45" s="3">
        <f t="shared" si="1"/>
        <v>14.2</v>
      </c>
    </row>
    <row r="46" spans="1:16" x14ac:dyDescent="0.25">
      <c r="A46" s="3">
        <v>31</v>
      </c>
      <c r="B46" s="3" t="s">
        <v>344</v>
      </c>
      <c r="C46" s="3" t="s">
        <v>345</v>
      </c>
      <c r="D46" s="3">
        <v>10</v>
      </c>
      <c r="E46" s="3">
        <v>15</v>
      </c>
      <c r="F46" s="3">
        <v>19</v>
      </c>
      <c r="G46" s="3">
        <f t="shared" si="0"/>
        <v>26.4</v>
      </c>
      <c r="H46" s="3">
        <v>20</v>
      </c>
      <c r="I46" s="3">
        <f>H46+G46</f>
        <v>46.4</v>
      </c>
      <c r="J46" s="3">
        <v>36.5</v>
      </c>
      <c r="K46" s="3">
        <f t="shared" si="2"/>
        <v>82.9</v>
      </c>
      <c r="L46" s="3">
        <f t="shared" si="1"/>
        <v>16.600000000000001</v>
      </c>
    </row>
    <row r="47" spans="1:16" x14ac:dyDescent="0.25">
      <c r="A47" s="3">
        <v>32</v>
      </c>
      <c r="B47" s="3" t="s">
        <v>346</v>
      </c>
      <c r="C47" s="3" t="s">
        <v>347</v>
      </c>
      <c r="D47" s="3">
        <v>10</v>
      </c>
      <c r="E47" s="3">
        <v>10</v>
      </c>
      <c r="F47" s="3">
        <v>18</v>
      </c>
      <c r="G47" s="3">
        <f t="shared" si="0"/>
        <v>22.8</v>
      </c>
      <c r="H47" s="3">
        <v>25</v>
      </c>
      <c r="I47" s="3">
        <f>H47+G47</f>
        <v>47.8</v>
      </c>
      <c r="J47" s="3">
        <v>36</v>
      </c>
      <c r="K47" s="3">
        <f t="shared" si="2"/>
        <v>83.8</v>
      </c>
      <c r="L47" s="3">
        <f t="shared" si="1"/>
        <v>16.8</v>
      </c>
    </row>
    <row r="48" spans="1:16" s="7" customFormat="1" x14ac:dyDescent="0.25">
      <c r="A48" s="3">
        <v>33</v>
      </c>
      <c r="B48" s="3" t="s">
        <v>348</v>
      </c>
      <c r="C48" s="3" t="s">
        <v>349</v>
      </c>
      <c r="D48" s="3">
        <v>10</v>
      </c>
      <c r="E48" s="3">
        <v>17</v>
      </c>
      <c r="F48" s="3">
        <v>17</v>
      </c>
      <c r="G48" s="3">
        <f t="shared" si="0"/>
        <v>26.4</v>
      </c>
      <c r="H48" s="3">
        <v>22</v>
      </c>
      <c r="I48" s="3">
        <f>H48+G48</f>
        <v>48.4</v>
      </c>
      <c r="J48" s="3">
        <v>31.5</v>
      </c>
      <c r="K48" s="3">
        <f t="shared" si="2"/>
        <v>79.900000000000006</v>
      </c>
      <c r="L48" s="3">
        <f t="shared" si="1"/>
        <v>16</v>
      </c>
      <c r="M48"/>
      <c r="N48"/>
      <c r="O48"/>
      <c r="P48"/>
    </row>
    <row r="49" spans="1:19" s="7" customFormat="1" x14ac:dyDescent="0.25">
      <c r="A49" s="41">
        <v>34</v>
      </c>
      <c r="B49" s="3" t="s">
        <v>350</v>
      </c>
      <c r="C49" s="3" t="s">
        <v>351</v>
      </c>
      <c r="D49" s="3">
        <v>5</v>
      </c>
      <c r="E49" s="3">
        <v>18</v>
      </c>
      <c r="F49" s="3">
        <v>14</v>
      </c>
      <c r="G49" s="3">
        <f t="shared" si="0"/>
        <v>22.2</v>
      </c>
      <c r="H49" s="3">
        <v>13</v>
      </c>
      <c r="I49" s="3">
        <f>H49+G49</f>
        <v>35.200000000000003</v>
      </c>
      <c r="J49" s="3">
        <v>13</v>
      </c>
      <c r="K49" s="3">
        <f t="shared" si="2"/>
        <v>48.2</v>
      </c>
      <c r="L49" s="3">
        <f t="shared" si="1"/>
        <v>9.6</v>
      </c>
      <c r="M49"/>
      <c r="N49"/>
    </row>
    <row r="50" spans="1:19" s="7" customFormat="1" x14ac:dyDescent="0.25">
      <c r="A50" s="3">
        <v>35</v>
      </c>
      <c r="B50" s="3" t="s">
        <v>352</v>
      </c>
      <c r="C50" s="3" t="s">
        <v>353</v>
      </c>
      <c r="D50" s="3">
        <v>5</v>
      </c>
      <c r="E50" s="3">
        <v>17</v>
      </c>
      <c r="F50" s="3">
        <v>17</v>
      </c>
      <c r="G50" s="3">
        <f t="shared" si="0"/>
        <v>23.4</v>
      </c>
      <c r="H50" s="3">
        <v>12</v>
      </c>
      <c r="I50" s="3">
        <f>H50+G50</f>
        <v>35.4</v>
      </c>
      <c r="J50" s="3">
        <v>25.5</v>
      </c>
      <c r="K50" s="3">
        <f t="shared" si="2"/>
        <v>60.9</v>
      </c>
      <c r="L50" s="3">
        <f t="shared" si="1"/>
        <v>12.2</v>
      </c>
      <c r="M50"/>
      <c r="N50"/>
    </row>
    <row r="51" spans="1:19" s="7" customFormat="1" x14ac:dyDescent="0.25">
      <c r="A51" s="3">
        <v>36</v>
      </c>
      <c r="B51" s="3" t="s">
        <v>354</v>
      </c>
      <c r="C51" s="3" t="s">
        <v>355</v>
      </c>
      <c r="D51" s="3">
        <v>10</v>
      </c>
      <c r="E51" s="3">
        <v>17</v>
      </c>
      <c r="F51" s="3">
        <v>18</v>
      </c>
      <c r="G51" s="3">
        <f t="shared" si="0"/>
        <v>27</v>
      </c>
      <c r="H51" s="3">
        <v>26</v>
      </c>
      <c r="I51" s="3">
        <f>H51+G51</f>
        <v>53</v>
      </c>
      <c r="J51" s="3">
        <v>35</v>
      </c>
      <c r="K51" s="3">
        <f t="shared" si="2"/>
        <v>88</v>
      </c>
      <c r="L51" s="3">
        <f t="shared" si="1"/>
        <v>17.600000000000001</v>
      </c>
      <c r="M51"/>
      <c r="N51"/>
    </row>
    <row r="52" spans="1:19" s="7" customFormat="1" x14ac:dyDescent="0.25">
      <c r="A52" s="3">
        <v>37</v>
      </c>
      <c r="B52" s="3" t="s">
        <v>356</v>
      </c>
      <c r="C52" s="3" t="s">
        <v>357</v>
      </c>
      <c r="D52" s="3">
        <v>10</v>
      </c>
      <c r="E52" s="3">
        <v>15</v>
      </c>
      <c r="F52" s="3">
        <v>17</v>
      </c>
      <c r="G52" s="3">
        <f t="shared" si="0"/>
        <v>25.2</v>
      </c>
      <c r="H52" s="3">
        <v>22</v>
      </c>
      <c r="I52" s="3">
        <f>H52+G52</f>
        <v>47.2</v>
      </c>
      <c r="J52" s="3">
        <v>23.5</v>
      </c>
      <c r="K52" s="3">
        <f t="shared" si="2"/>
        <v>70.7</v>
      </c>
      <c r="L52" s="3">
        <f t="shared" si="1"/>
        <v>14.1</v>
      </c>
      <c r="M52"/>
      <c r="N52"/>
    </row>
    <row r="53" spans="1:19" s="7" customFormat="1" x14ac:dyDescent="0.25">
      <c r="A53" s="3">
        <v>38</v>
      </c>
      <c r="B53" s="3" t="s">
        <v>358</v>
      </c>
      <c r="C53" s="3" t="s">
        <v>359</v>
      </c>
      <c r="D53" s="3">
        <v>10</v>
      </c>
      <c r="E53" s="3">
        <v>18</v>
      </c>
      <c r="F53" s="3">
        <v>14</v>
      </c>
      <c r="G53" s="3">
        <f t="shared" si="0"/>
        <v>25.2</v>
      </c>
      <c r="H53" s="3">
        <v>27</v>
      </c>
      <c r="I53" s="3">
        <f>H53+G53</f>
        <v>52.2</v>
      </c>
      <c r="J53" s="3">
        <v>38</v>
      </c>
      <c r="K53" s="3">
        <f t="shared" si="2"/>
        <v>90.2</v>
      </c>
      <c r="L53" s="3">
        <f t="shared" si="1"/>
        <v>18</v>
      </c>
      <c r="M53"/>
      <c r="N53"/>
    </row>
    <row r="54" spans="1:19" s="7" customFormat="1" x14ac:dyDescent="0.25">
      <c r="A54" s="3">
        <v>39</v>
      </c>
      <c r="B54" s="3" t="s">
        <v>360</v>
      </c>
      <c r="C54" s="3" t="s">
        <v>361</v>
      </c>
      <c r="D54" s="3">
        <v>10</v>
      </c>
      <c r="E54" s="3">
        <v>17</v>
      </c>
      <c r="F54" s="3">
        <v>18</v>
      </c>
      <c r="G54" s="3">
        <f t="shared" si="0"/>
        <v>27</v>
      </c>
      <c r="H54" s="3">
        <v>22</v>
      </c>
      <c r="I54" s="3">
        <f>H54+G54</f>
        <v>49</v>
      </c>
      <c r="J54" s="3">
        <v>22</v>
      </c>
      <c r="K54" s="3">
        <f t="shared" si="2"/>
        <v>71</v>
      </c>
      <c r="L54" s="3">
        <f t="shared" si="1"/>
        <v>14.2</v>
      </c>
      <c r="M54"/>
      <c r="N54"/>
    </row>
    <row r="55" spans="1:19" s="7" customFormat="1" x14ac:dyDescent="0.25">
      <c r="A55" s="3">
        <v>40</v>
      </c>
      <c r="B55" s="3" t="s">
        <v>362</v>
      </c>
      <c r="C55" s="3" t="s">
        <v>363</v>
      </c>
      <c r="D55" s="3">
        <v>10</v>
      </c>
      <c r="E55" s="3">
        <v>18</v>
      </c>
      <c r="F55" s="3">
        <v>17</v>
      </c>
      <c r="G55" s="3">
        <f t="shared" si="0"/>
        <v>27</v>
      </c>
      <c r="H55" s="3">
        <v>21</v>
      </c>
      <c r="I55" s="3">
        <f>H55+G55</f>
        <v>48</v>
      </c>
      <c r="J55" s="3">
        <v>13.5</v>
      </c>
      <c r="K55" s="3">
        <f t="shared" si="2"/>
        <v>61.5</v>
      </c>
      <c r="L55" s="3">
        <f t="shared" si="1"/>
        <v>12.3</v>
      </c>
      <c r="M55"/>
      <c r="N55"/>
    </row>
    <row r="56" spans="1:19" s="7" customFormat="1" x14ac:dyDescent="0.25">
      <c r="A56" s="3">
        <v>41</v>
      </c>
      <c r="B56" s="3" t="s">
        <v>364</v>
      </c>
      <c r="C56" s="3" t="s">
        <v>365</v>
      </c>
      <c r="D56" s="3">
        <v>10</v>
      </c>
      <c r="E56" s="3">
        <v>15</v>
      </c>
      <c r="F56" s="3">
        <v>19</v>
      </c>
      <c r="G56" s="3">
        <f t="shared" si="0"/>
        <v>26.4</v>
      </c>
      <c r="H56" s="3">
        <v>21</v>
      </c>
      <c r="I56" s="3">
        <f>H56+G56</f>
        <v>47.4</v>
      </c>
      <c r="J56" s="3">
        <v>27.5</v>
      </c>
      <c r="K56" s="3">
        <f t="shared" si="2"/>
        <v>74.900000000000006</v>
      </c>
      <c r="L56" s="3">
        <f t="shared" si="1"/>
        <v>15</v>
      </c>
      <c r="M56"/>
      <c r="N56"/>
      <c r="O56"/>
      <c r="P56"/>
    </row>
    <row r="57" spans="1:19" s="7" customFormat="1" x14ac:dyDescent="0.25">
      <c r="A57" s="3">
        <v>42</v>
      </c>
      <c r="B57" s="3" t="s">
        <v>366</v>
      </c>
      <c r="C57" s="3" t="s">
        <v>367</v>
      </c>
      <c r="D57" s="3">
        <v>10</v>
      </c>
      <c r="E57" s="3">
        <v>17</v>
      </c>
      <c r="F57" s="3">
        <v>18</v>
      </c>
      <c r="G57" s="3">
        <f t="shared" si="0"/>
        <v>27</v>
      </c>
      <c r="H57" s="3">
        <v>28</v>
      </c>
      <c r="I57" s="3">
        <f>H57+G57</f>
        <v>55</v>
      </c>
      <c r="J57" s="3">
        <v>36</v>
      </c>
      <c r="K57" s="3">
        <f t="shared" si="2"/>
        <v>91</v>
      </c>
      <c r="L57" s="3">
        <f t="shared" si="1"/>
        <v>18.2</v>
      </c>
      <c r="M57"/>
      <c r="N57"/>
    </row>
    <row r="58" spans="1:19" s="7" customFormat="1" x14ac:dyDescent="0.25">
      <c r="A58" s="3">
        <v>43</v>
      </c>
      <c r="B58" s="3" t="s">
        <v>368</v>
      </c>
      <c r="C58" s="3" t="s">
        <v>369</v>
      </c>
      <c r="D58" s="3">
        <v>10</v>
      </c>
      <c r="E58" s="3">
        <v>18</v>
      </c>
      <c r="F58" s="3">
        <v>17</v>
      </c>
      <c r="G58" s="3">
        <f t="shared" si="0"/>
        <v>27</v>
      </c>
      <c r="H58" s="3">
        <v>16</v>
      </c>
      <c r="I58" s="3">
        <f>H58+G58</f>
        <v>43</v>
      </c>
      <c r="J58" s="25"/>
      <c r="K58" s="42" t="s">
        <v>538</v>
      </c>
      <c r="L58" s="42" t="s">
        <v>538</v>
      </c>
      <c r="M58"/>
      <c r="N58"/>
      <c r="O58"/>
      <c r="P58"/>
      <c r="Q58"/>
      <c r="R58"/>
      <c r="S58"/>
    </row>
    <row r="59" spans="1:19" s="7" customFormat="1" x14ac:dyDescent="0.25">
      <c r="A59" s="3">
        <v>44</v>
      </c>
      <c r="B59" s="3" t="s">
        <v>370</v>
      </c>
      <c r="C59" s="3" t="s">
        <v>371</v>
      </c>
      <c r="D59" s="3">
        <v>10</v>
      </c>
      <c r="E59" s="3">
        <v>18</v>
      </c>
      <c r="F59" s="3">
        <v>14</v>
      </c>
      <c r="G59" s="3">
        <f t="shared" si="0"/>
        <v>25.2</v>
      </c>
      <c r="H59" s="3">
        <v>26</v>
      </c>
      <c r="I59" s="3">
        <f>H59+G59</f>
        <v>51.2</v>
      </c>
      <c r="J59" s="3">
        <v>35</v>
      </c>
      <c r="K59" s="3">
        <f t="shared" si="2"/>
        <v>86.2</v>
      </c>
      <c r="L59" s="3">
        <f t="shared" si="1"/>
        <v>17.2</v>
      </c>
      <c r="M59"/>
      <c r="N59"/>
      <c r="O59"/>
      <c r="P59"/>
      <c r="Q59"/>
      <c r="R59"/>
      <c r="S59"/>
    </row>
    <row r="60" spans="1:19" s="7" customFormat="1" x14ac:dyDescent="0.25">
      <c r="A60" s="3">
        <v>45</v>
      </c>
      <c r="B60" s="3" t="s">
        <v>372</v>
      </c>
      <c r="C60" s="3" t="s">
        <v>373</v>
      </c>
      <c r="D60" s="3">
        <v>10</v>
      </c>
      <c r="E60" s="3">
        <v>18</v>
      </c>
      <c r="F60" s="3">
        <v>17</v>
      </c>
      <c r="G60" s="3">
        <f t="shared" si="0"/>
        <v>27</v>
      </c>
      <c r="H60" s="3">
        <v>18</v>
      </c>
      <c r="I60" s="3">
        <f>H60+G60</f>
        <v>45</v>
      </c>
      <c r="J60" s="3">
        <v>25</v>
      </c>
      <c r="K60" s="3">
        <f t="shared" si="2"/>
        <v>70</v>
      </c>
      <c r="L60" s="3">
        <f t="shared" si="1"/>
        <v>14</v>
      </c>
      <c r="M60"/>
      <c r="N60"/>
      <c r="O60"/>
      <c r="P60"/>
      <c r="Q60"/>
      <c r="R60"/>
      <c r="S60"/>
    </row>
    <row r="61" spans="1:19" s="7" customFormat="1" x14ac:dyDescent="0.25">
      <c r="A61" s="3">
        <v>46</v>
      </c>
      <c r="B61" s="3" t="s">
        <v>374</v>
      </c>
      <c r="C61" s="3" t="s">
        <v>375</v>
      </c>
      <c r="D61" s="3">
        <v>10</v>
      </c>
      <c r="E61" s="3">
        <v>18</v>
      </c>
      <c r="F61" s="3">
        <v>14</v>
      </c>
      <c r="G61" s="3">
        <f t="shared" si="0"/>
        <v>25.2</v>
      </c>
      <c r="H61" s="3">
        <v>29</v>
      </c>
      <c r="I61" s="3">
        <f>H61+G61</f>
        <v>54.2</v>
      </c>
      <c r="J61" s="3">
        <v>32.5</v>
      </c>
      <c r="K61" s="3">
        <f t="shared" si="2"/>
        <v>86.7</v>
      </c>
      <c r="L61" s="3">
        <f t="shared" si="1"/>
        <v>17.3</v>
      </c>
      <c r="M61"/>
      <c r="N61"/>
      <c r="O61"/>
      <c r="P61"/>
      <c r="Q61"/>
      <c r="R61"/>
      <c r="S61"/>
    </row>
    <row r="62" spans="1:19" s="7" customFormat="1" x14ac:dyDescent="0.25">
      <c r="A62" s="3">
        <v>47</v>
      </c>
      <c r="B62" s="3" t="s">
        <v>376</v>
      </c>
      <c r="C62" s="3" t="s">
        <v>377</v>
      </c>
      <c r="D62" s="3">
        <v>10</v>
      </c>
      <c r="E62" s="3">
        <v>15</v>
      </c>
      <c r="F62" s="3">
        <v>17</v>
      </c>
      <c r="G62" s="3">
        <f t="shared" si="0"/>
        <v>25.2</v>
      </c>
      <c r="H62" s="3">
        <v>26</v>
      </c>
      <c r="I62" s="3">
        <f>H62+G62</f>
        <v>51.2</v>
      </c>
      <c r="J62" s="3">
        <v>33.5</v>
      </c>
      <c r="K62" s="3">
        <f t="shared" si="2"/>
        <v>84.7</v>
      </c>
      <c r="L62" s="3">
        <f t="shared" si="1"/>
        <v>16.899999999999999</v>
      </c>
      <c r="M62"/>
      <c r="N62"/>
      <c r="O62"/>
      <c r="P62"/>
      <c r="Q62"/>
      <c r="R62"/>
      <c r="S62"/>
    </row>
    <row r="63" spans="1:19" s="7" customFormat="1" x14ac:dyDescent="0.25">
      <c r="A63" s="3">
        <v>48</v>
      </c>
      <c r="B63" s="3" t="s">
        <v>378</v>
      </c>
      <c r="C63" s="3" t="s">
        <v>379</v>
      </c>
      <c r="D63" s="3">
        <v>10</v>
      </c>
      <c r="E63" s="3">
        <v>17</v>
      </c>
      <c r="F63" s="3">
        <v>19</v>
      </c>
      <c r="G63" s="3">
        <f t="shared" si="0"/>
        <v>27.6</v>
      </c>
      <c r="H63" s="3">
        <v>21</v>
      </c>
      <c r="I63" s="3">
        <f>H63+G63</f>
        <v>48.6</v>
      </c>
      <c r="J63" s="3">
        <v>33</v>
      </c>
      <c r="K63" s="3">
        <f t="shared" si="2"/>
        <v>81.599999999999994</v>
      </c>
      <c r="L63" s="3">
        <f t="shared" si="1"/>
        <v>16.3</v>
      </c>
      <c r="M63"/>
      <c r="N63"/>
      <c r="O63"/>
      <c r="P63"/>
      <c r="Q63"/>
      <c r="R63"/>
      <c r="S63"/>
    </row>
    <row r="64" spans="1:19" s="7" customFormat="1" x14ac:dyDescent="0.25">
      <c r="A64" s="3">
        <v>49</v>
      </c>
      <c r="B64" s="3" t="s">
        <v>380</v>
      </c>
      <c r="C64" s="3" t="s">
        <v>381</v>
      </c>
      <c r="D64" s="3">
        <v>10</v>
      </c>
      <c r="E64" s="3">
        <v>17</v>
      </c>
      <c r="F64" s="3">
        <v>18</v>
      </c>
      <c r="G64" s="3">
        <f t="shared" si="0"/>
        <v>27</v>
      </c>
      <c r="H64" s="3">
        <v>21</v>
      </c>
      <c r="I64" s="3">
        <f>H64+G64</f>
        <v>48</v>
      </c>
      <c r="J64" s="3">
        <v>25.5</v>
      </c>
      <c r="K64" s="3">
        <f t="shared" si="2"/>
        <v>73.5</v>
      </c>
      <c r="L64" s="3">
        <f t="shared" si="1"/>
        <v>14.7</v>
      </c>
      <c r="M64"/>
      <c r="N64"/>
      <c r="O64"/>
      <c r="P64"/>
      <c r="Q64"/>
      <c r="R64"/>
      <c r="S64"/>
    </row>
    <row r="65" spans="1:19" s="7" customFormat="1" x14ac:dyDescent="0.25">
      <c r="A65" s="3">
        <v>50</v>
      </c>
      <c r="B65" s="3" t="s">
        <v>382</v>
      </c>
      <c r="C65" s="3" t="s">
        <v>383</v>
      </c>
      <c r="D65" s="3">
        <v>10</v>
      </c>
      <c r="E65" s="3">
        <v>17</v>
      </c>
      <c r="F65" s="3">
        <v>18</v>
      </c>
      <c r="G65" s="3">
        <f t="shared" si="0"/>
        <v>27</v>
      </c>
      <c r="H65" s="3">
        <v>28</v>
      </c>
      <c r="I65" s="3">
        <f>H65+G65</f>
        <v>55</v>
      </c>
      <c r="J65" s="3">
        <v>36</v>
      </c>
      <c r="K65" s="3">
        <f t="shared" si="2"/>
        <v>91</v>
      </c>
      <c r="L65" s="3">
        <f t="shared" si="1"/>
        <v>18.2</v>
      </c>
      <c r="M65"/>
      <c r="N65"/>
      <c r="O65"/>
      <c r="P65"/>
      <c r="Q65"/>
      <c r="R65"/>
      <c r="S65"/>
    </row>
    <row r="66" spans="1:19" s="7" customFormat="1" x14ac:dyDescent="0.25">
      <c r="A66" s="3">
        <v>51</v>
      </c>
      <c r="B66" s="3" t="s">
        <v>384</v>
      </c>
      <c r="C66" s="3" t="s">
        <v>385</v>
      </c>
      <c r="D66" s="3">
        <v>10</v>
      </c>
      <c r="E66" s="3">
        <v>10</v>
      </c>
      <c r="F66" s="3">
        <v>18</v>
      </c>
      <c r="G66" s="3">
        <f t="shared" si="0"/>
        <v>22.8</v>
      </c>
      <c r="H66" s="3">
        <v>29</v>
      </c>
      <c r="I66" s="3">
        <f>H66+G66</f>
        <v>51.8</v>
      </c>
      <c r="J66" s="3">
        <v>38</v>
      </c>
      <c r="K66" s="3">
        <f t="shared" si="2"/>
        <v>89.8</v>
      </c>
      <c r="L66" s="3">
        <f t="shared" si="1"/>
        <v>18</v>
      </c>
      <c r="M66"/>
      <c r="N66"/>
      <c r="O66"/>
      <c r="P66"/>
      <c r="Q66"/>
      <c r="R66"/>
      <c r="S66"/>
    </row>
    <row r="67" spans="1:19" s="7" customFormat="1" x14ac:dyDescent="0.25">
      <c r="A67" s="3">
        <v>52</v>
      </c>
      <c r="B67" s="3" t="s">
        <v>386</v>
      </c>
      <c r="C67" s="3" t="s">
        <v>387</v>
      </c>
      <c r="D67" s="3">
        <v>5</v>
      </c>
      <c r="E67" s="3">
        <v>15</v>
      </c>
      <c r="F67" s="3">
        <v>14</v>
      </c>
      <c r="G67" s="3">
        <f t="shared" si="0"/>
        <v>20.399999999999999</v>
      </c>
      <c r="H67" s="3">
        <v>23</v>
      </c>
      <c r="I67" s="3">
        <f>H67+G67</f>
        <v>43.4</v>
      </c>
      <c r="J67" s="3">
        <v>35</v>
      </c>
      <c r="K67" s="3">
        <f t="shared" si="2"/>
        <v>78.400000000000006</v>
      </c>
      <c r="L67" s="3">
        <f t="shared" si="1"/>
        <v>15.7</v>
      </c>
      <c r="M67"/>
      <c r="N67"/>
      <c r="O67"/>
      <c r="P67"/>
      <c r="Q67"/>
      <c r="R67"/>
      <c r="S67"/>
    </row>
    <row r="68" spans="1:19" s="7" customFormat="1" x14ac:dyDescent="0.25">
      <c r="A68" s="3">
        <v>53</v>
      </c>
      <c r="B68" s="3" t="s">
        <v>388</v>
      </c>
      <c r="C68" s="3" t="s">
        <v>389</v>
      </c>
      <c r="D68" s="3">
        <v>10</v>
      </c>
      <c r="E68" s="3">
        <v>10</v>
      </c>
      <c r="F68" s="3">
        <v>10</v>
      </c>
      <c r="G68" s="3">
        <f t="shared" si="0"/>
        <v>18</v>
      </c>
      <c r="H68" s="3">
        <v>18</v>
      </c>
      <c r="I68" s="3">
        <f>H68+G68</f>
        <v>36</v>
      </c>
      <c r="J68" s="3">
        <v>34.5</v>
      </c>
      <c r="K68" s="3">
        <f t="shared" si="2"/>
        <v>70.5</v>
      </c>
      <c r="L68" s="3">
        <f t="shared" si="1"/>
        <v>14.1</v>
      </c>
      <c r="M68"/>
      <c r="N68"/>
      <c r="O68"/>
      <c r="P68"/>
      <c r="Q68"/>
      <c r="R68"/>
      <c r="S68"/>
    </row>
    <row r="69" spans="1:19" s="7" customFormat="1" x14ac:dyDescent="0.25">
      <c r="A69" s="3">
        <v>54</v>
      </c>
      <c r="B69" s="3" t="s">
        <v>390</v>
      </c>
      <c r="C69" s="3" t="s">
        <v>391</v>
      </c>
      <c r="D69" s="3">
        <v>10</v>
      </c>
      <c r="E69" s="3">
        <v>15</v>
      </c>
      <c r="F69" s="3">
        <v>14</v>
      </c>
      <c r="G69" s="3">
        <f t="shared" si="0"/>
        <v>23.4</v>
      </c>
      <c r="H69" s="3">
        <v>29</v>
      </c>
      <c r="I69" s="3">
        <f>H69+G69</f>
        <v>52.4</v>
      </c>
      <c r="J69" s="3">
        <v>39</v>
      </c>
      <c r="K69" s="3">
        <f t="shared" si="2"/>
        <v>91.4</v>
      </c>
      <c r="L69" s="3">
        <f t="shared" si="1"/>
        <v>18.3</v>
      </c>
      <c r="M69"/>
      <c r="N69"/>
    </row>
    <row r="70" spans="1:19" s="7" customFormat="1" x14ac:dyDescent="0.25">
      <c r="A70" s="3">
        <v>55</v>
      </c>
      <c r="B70" s="3" t="s">
        <v>392</v>
      </c>
      <c r="C70" s="3" t="s">
        <v>393</v>
      </c>
      <c r="D70" s="3">
        <v>10</v>
      </c>
      <c r="E70" s="3">
        <v>15</v>
      </c>
      <c r="F70" s="3">
        <v>14</v>
      </c>
      <c r="G70" s="3">
        <f t="shared" si="0"/>
        <v>23.4</v>
      </c>
      <c r="H70" s="3">
        <v>20</v>
      </c>
      <c r="I70" s="3">
        <f>H70+G70</f>
        <v>43.4</v>
      </c>
      <c r="J70" s="3">
        <v>37</v>
      </c>
      <c r="K70" s="3">
        <f t="shared" si="2"/>
        <v>80.400000000000006</v>
      </c>
      <c r="L70" s="3">
        <f t="shared" si="1"/>
        <v>16.100000000000001</v>
      </c>
      <c r="M70"/>
      <c r="N70"/>
    </row>
    <row r="71" spans="1:19" s="7" customFormat="1" x14ac:dyDescent="0.25">
      <c r="A71" s="3">
        <v>56</v>
      </c>
      <c r="B71" s="3" t="s">
        <v>394</v>
      </c>
      <c r="C71" s="3" t="s">
        <v>395</v>
      </c>
      <c r="D71" s="3">
        <v>10</v>
      </c>
      <c r="E71" s="3">
        <v>15</v>
      </c>
      <c r="F71" s="3">
        <v>14</v>
      </c>
      <c r="G71" s="3">
        <f t="shared" si="0"/>
        <v>23.4</v>
      </c>
      <c r="H71" s="3">
        <v>27</v>
      </c>
      <c r="I71" s="3">
        <f>H71+G71</f>
        <v>50.4</v>
      </c>
      <c r="J71" s="3">
        <v>30</v>
      </c>
      <c r="K71" s="3">
        <f t="shared" si="2"/>
        <v>80.400000000000006</v>
      </c>
      <c r="L71" s="3">
        <f t="shared" si="1"/>
        <v>16.100000000000001</v>
      </c>
      <c r="M71"/>
      <c r="N71"/>
    </row>
    <row r="72" spans="1:19" s="7" customFormat="1" x14ac:dyDescent="0.25">
      <c r="A72" s="3">
        <v>57</v>
      </c>
      <c r="B72" s="3" t="s">
        <v>396</v>
      </c>
      <c r="C72" s="3" t="s">
        <v>397</v>
      </c>
      <c r="D72" s="3">
        <v>10</v>
      </c>
      <c r="E72" s="3">
        <v>15</v>
      </c>
      <c r="F72" s="3">
        <v>14</v>
      </c>
      <c r="G72" s="3">
        <f t="shared" si="0"/>
        <v>23.4</v>
      </c>
      <c r="H72" s="3">
        <v>14</v>
      </c>
      <c r="I72" s="3">
        <f>H72+G72</f>
        <v>37.4</v>
      </c>
      <c r="J72" s="3">
        <v>33</v>
      </c>
      <c r="K72" s="3">
        <f t="shared" si="2"/>
        <v>70.400000000000006</v>
      </c>
      <c r="L72" s="3">
        <f t="shared" si="1"/>
        <v>14.1</v>
      </c>
      <c r="M72"/>
      <c r="N72"/>
    </row>
    <row r="73" spans="1:19" s="7" customFormat="1" x14ac:dyDescent="0.25">
      <c r="A73" s="3">
        <v>58</v>
      </c>
      <c r="B73" s="3" t="s">
        <v>398</v>
      </c>
      <c r="C73" s="3" t="s">
        <v>399</v>
      </c>
      <c r="D73" s="3">
        <v>10</v>
      </c>
      <c r="E73" s="3">
        <v>17</v>
      </c>
      <c r="F73" s="3">
        <v>18</v>
      </c>
      <c r="G73" s="3">
        <f t="shared" si="0"/>
        <v>27</v>
      </c>
      <c r="H73" s="3">
        <v>19</v>
      </c>
      <c r="I73" s="3">
        <f>H73+G73</f>
        <v>46</v>
      </c>
      <c r="J73" s="3">
        <v>37</v>
      </c>
      <c r="K73" s="3">
        <f t="shared" si="2"/>
        <v>83</v>
      </c>
      <c r="L73" s="3">
        <f t="shared" si="1"/>
        <v>16.600000000000001</v>
      </c>
      <c r="M73"/>
      <c r="N73"/>
    </row>
    <row r="74" spans="1:19" s="7" customFormat="1" x14ac:dyDescent="0.25">
      <c r="A74" s="3">
        <v>59</v>
      </c>
      <c r="B74" s="3" t="s">
        <v>400</v>
      </c>
      <c r="C74" s="3" t="s">
        <v>401</v>
      </c>
      <c r="D74" s="3">
        <v>10</v>
      </c>
      <c r="E74" s="3">
        <v>10</v>
      </c>
      <c r="F74" s="3">
        <v>13</v>
      </c>
      <c r="G74" s="3">
        <f t="shared" si="0"/>
        <v>19.8</v>
      </c>
      <c r="H74" s="3">
        <v>12</v>
      </c>
      <c r="I74" s="3">
        <f>H74+G74</f>
        <v>31.8</v>
      </c>
      <c r="J74" s="3">
        <v>26.5</v>
      </c>
      <c r="K74" s="3">
        <f t="shared" si="2"/>
        <v>58.3</v>
      </c>
      <c r="L74" s="3">
        <f t="shared" si="1"/>
        <v>11.7</v>
      </c>
      <c r="M74"/>
      <c r="N74"/>
    </row>
    <row r="75" spans="1:19" s="7" customFormat="1" x14ac:dyDescent="0.25">
      <c r="A75" s="3">
        <v>60</v>
      </c>
      <c r="B75" s="3" t="s">
        <v>402</v>
      </c>
      <c r="C75" s="3" t="s">
        <v>403</v>
      </c>
      <c r="D75" s="3">
        <v>10</v>
      </c>
      <c r="E75" s="3">
        <v>17</v>
      </c>
      <c r="F75" s="3">
        <v>10</v>
      </c>
      <c r="G75" s="3">
        <f t="shared" si="0"/>
        <v>22.2</v>
      </c>
      <c r="H75" s="3">
        <v>13</v>
      </c>
      <c r="I75" s="3">
        <f>H75+G75</f>
        <v>35.200000000000003</v>
      </c>
      <c r="J75" s="3">
        <v>36.5</v>
      </c>
      <c r="K75" s="3">
        <f t="shared" si="2"/>
        <v>71.7</v>
      </c>
      <c r="L75" s="3">
        <f t="shared" si="1"/>
        <v>14.3</v>
      </c>
      <c r="M75"/>
      <c r="N75"/>
    </row>
    <row r="76" spans="1:19" s="7" customFormat="1" x14ac:dyDescent="0.25">
      <c r="A76" s="3">
        <v>61</v>
      </c>
      <c r="B76" s="3" t="s">
        <v>404</v>
      </c>
      <c r="C76" s="3" t="s">
        <v>405</v>
      </c>
      <c r="D76" s="3">
        <v>10</v>
      </c>
      <c r="E76" s="3">
        <v>18</v>
      </c>
      <c r="F76" s="3">
        <v>10</v>
      </c>
      <c r="G76" s="3">
        <f t="shared" si="0"/>
        <v>22.8</v>
      </c>
      <c r="H76" s="3">
        <v>24</v>
      </c>
      <c r="I76" s="3">
        <f>H76+G76</f>
        <v>46.8</v>
      </c>
      <c r="J76" s="3">
        <v>32</v>
      </c>
      <c r="K76" s="3">
        <f t="shared" si="2"/>
        <v>78.8</v>
      </c>
      <c r="L76" s="3">
        <f t="shared" si="1"/>
        <v>15.8</v>
      </c>
      <c r="M76"/>
      <c r="N76"/>
    </row>
    <row r="77" spans="1:19" s="7" customFormat="1" x14ac:dyDescent="0.25">
      <c r="A77" s="3">
        <v>62</v>
      </c>
      <c r="B77" s="3" t="s">
        <v>406</v>
      </c>
      <c r="C77" s="3" t="s">
        <v>407</v>
      </c>
      <c r="D77" s="3">
        <v>10</v>
      </c>
      <c r="E77" s="3">
        <v>17</v>
      </c>
      <c r="F77" s="3">
        <v>18</v>
      </c>
      <c r="G77" s="3">
        <f t="shared" si="0"/>
        <v>27</v>
      </c>
      <c r="H77" s="3">
        <v>24</v>
      </c>
      <c r="I77" s="3">
        <f>H77+G77</f>
        <v>51</v>
      </c>
      <c r="J77" s="3">
        <v>30</v>
      </c>
      <c r="K77" s="3">
        <f t="shared" si="2"/>
        <v>81</v>
      </c>
      <c r="L77" s="3">
        <f t="shared" si="1"/>
        <v>16.2</v>
      </c>
      <c r="M77"/>
      <c r="N77"/>
    </row>
    <row r="78" spans="1:19" s="7" customFormat="1" x14ac:dyDescent="0.25">
      <c r="A78" s="3">
        <v>63</v>
      </c>
      <c r="B78" s="3" t="s">
        <v>408</v>
      </c>
      <c r="C78" s="3" t="s">
        <v>409</v>
      </c>
      <c r="D78" s="3">
        <v>10</v>
      </c>
      <c r="E78" s="3">
        <v>17</v>
      </c>
      <c r="F78" s="3">
        <v>18</v>
      </c>
      <c r="G78" s="3">
        <f t="shared" si="0"/>
        <v>27</v>
      </c>
      <c r="H78" s="3">
        <v>19</v>
      </c>
      <c r="I78" s="3">
        <f>H78+G78</f>
        <v>46</v>
      </c>
      <c r="J78" s="3">
        <v>31</v>
      </c>
      <c r="K78" s="3">
        <f t="shared" si="2"/>
        <v>77</v>
      </c>
      <c r="L78" s="3">
        <f t="shared" si="1"/>
        <v>15.4</v>
      </c>
      <c r="M78"/>
      <c r="N78"/>
    </row>
    <row r="79" spans="1:19" x14ac:dyDescent="0.25">
      <c r="A79" s="3">
        <v>64</v>
      </c>
      <c r="B79" s="3" t="s">
        <v>410</v>
      </c>
      <c r="C79" s="3" t="s">
        <v>411</v>
      </c>
      <c r="D79" s="3">
        <v>10</v>
      </c>
      <c r="E79" s="3">
        <v>18</v>
      </c>
      <c r="F79" s="3">
        <v>17</v>
      </c>
      <c r="G79" s="3">
        <f t="shared" si="0"/>
        <v>27</v>
      </c>
      <c r="H79" s="3">
        <v>28</v>
      </c>
      <c r="I79" s="3">
        <f>H79+G79</f>
        <v>55</v>
      </c>
      <c r="J79" s="3">
        <v>28.5</v>
      </c>
      <c r="K79" s="3">
        <f t="shared" si="2"/>
        <v>83.5</v>
      </c>
      <c r="L79" s="3">
        <f t="shared" si="1"/>
        <v>16.7</v>
      </c>
    </row>
    <row r="80" spans="1:19" x14ac:dyDescent="0.25">
      <c r="A80" s="3">
        <v>65</v>
      </c>
      <c r="B80" s="3" t="s">
        <v>412</v>
      </c>
      <c r="C80" s="3" t="s">
        <v>413</v>
      </c>
      <c r="D80" s="3">
        <v>10</v>
      </c>
      <c r="E80" s="3">
        <v>10</v>
      </c>
      <c r="F80" s="3">
        <v>13</v>
      </c>
      <c r="G80" s="3">
        <f t="shared" si="0"/>
        <v>19.8</v>
      </c>
      <c r="H80" s="3">
        <v>22</v>
      </c>
      <c r="I80" s="3">
        <f>H80+G80</f>
        <v>41.8</v>
      </c>
      <c r="J80" s="3">
        <v>33.5</v>
      </c>
      <c r="K80" s="3">
        <f t="shared" si="2"/>
        <v>75.3</v>
      </c>
      <c r="L80" s="3">
        <f t="shared" si="1"/>
        <v>15.1</v>
      </c>
    </row>
    <row r="81" spans="1:14" x14ac:dyDescent="0.25">
      <c r="A81" s="3">
        <v>66</v>
      </c>
      <c r="B81" s="3" t="s">
        <v>414</v>
      </c>
      <c r="C81" s="3" t="s">
        <v>415</v>
      </c>
      <c r="D81" s="3">
        <v>5</v>
      </c>
      <c r="E81" s="3">
        <v>15</v>
      </c>
      <c r="F81" s="3">
        <v>19</v>
      </c>
      <c r="G81" s="3">
        <f t="shared" ref="G81:G82" si="3">(D81+E81+F81)*30/50</f>
        <v>23.4</v>
      </c>
      <c r="H81" s="3">
        <v>12</v>
      </c>
      <c r="I81" s="3">
        <f>H81+G81</f>
        <v>35.4</v>
      </c>
      <c r="J81" s="3">
        <v>17.5</v>
      </c>
      <c r="K81" s="3">
        <f t="shared" ref="K81:K82" si="4">I81+J81</f>
        <v>52.9</v>
      </c>
      <c r="L81" s="3">
        <f t="shared" ref="L81:L82" si="5">ROUND(K81*20/100,1)</f>
        <v>10.6</v>
      </c>
    </row>
    <row r="82" spans="1:14" x14ac:dyDescent="0.25">
      <c r="A82" s="3">
        <v>67</v>
      </c>
      <c r="B82" s="3" t="s">
        <v>416</v>
      </c>
      <c r="C82" s="3" t="s">
        <v>417</v>
      </c>
      <c r="D82" s="3">
        <v>10</v>
      </c>
      <c r="E82" s="3">
        <v>18</v>
      </c>
      <c r="F82" s="3">
        <v>10</v>
      </c>
      <c r="G82" s="3">
        <f t="shared" si="3"/>
        <v>22.8</v>
      </c>
      <c r="H82" s="3">
        <v>13</v>
      </c>
      <c r="I82" s="3">
        <f>H82+G82</f>
        <v>35.799999999999997</v>
      </c>
      <c r="J82" s="3">
        <v>18</v>
      </c>
      <c r="K82" s="3">
        <f t="shared" si="4"/>
        <v>53.8</v>
      </c>
      <c r="L82" s="3">
        <f t="shared" si="5"/>
        <v>10.8</v>
      </c>
    </row>
    <row r="83" spans="1:14" x14ac:dyDescent="0.25">
      <c r="B83" s="34" t="s">
        <v>6</v>
      </c>
      <c r="C83" s="34"/>
      <c r="D83" s="34"/>
      <c r="E83" s="34"/>
      <c r="F83" s="34"/>
      <c r="G83" s="34"/>
      <c r="H83" s="34"/>
      <c r="I83" s="34"/>
      <c r="J83" s="34"/>
      <c r="K83" s="34"/>
    </row>
    <row r="84" spans="1:14" x14ac:dyDescent="0.25">
      <c r="A84" s="5" t="s">
        <v>1</v>
      </c>
      <c r="B84" s="5" t="s">
        <v>10</v>
      </c>
      <c r="C84" s="5" t="s">
        <v>9</v>
      </c>
      <c r="D84" s="36"/>
      <c r="E84" s="37"/>
      <c r="F84" s="35" t="s">
        <v>7</v>
      </c>
      <c r="G84" s="36"/>
      <c r="H84" s="36"/>
      <c r="I84" s="36"/>
      <c r="J84" s="36"/>
      <c r="K84" s="36"/>
      <c r="L84" s="6"/>
    </row>
    <row r="85" spans="1:14" x14ac:dyDescent="0.25">
      <c r="A85" s="5">
        <v>1</v>
      </c>
      <c r="B85" s="5"/>
      <c r="C85" s="5"/>
      <c r="D85" s="36"/>
      <c r="E85" s="37"/>
      <c r="F85" s="35"/>
      <c r="G85" s="36"/>
      <c r="H85" s="36"/>
      <c r="I85" s="36"/>
      <c r="J85" s="36"/>
      <c r="K85" s="37"/>
      <c r="L85" s="6"/>
    </row>
    <row r="86" spans="1:14" x14ac:dyDescent="0.25">
      <c r="A86" s="5"/>
      <c r="B86" s="5"/>
      <c r="C86" s="5"/>
      <c r="D86" s="36"/>
      <c r="E86" s="37"/>
      <c r="F86" s="35"/>
      <c r="G86" s="36"/>
      <c r="H86" s="36"/>
      <c r="I86" s="36"/>
      <c r="J86" s="36"/>
      <c r="K86" s="37"/>
      <c r="L86" s="6"/>
    </row>
    <row r="89" spans="1:14" ht="21" x14ac:dyDescent="0.35">
      <c r="F89" s="8" t="s">
        <v>11</v>
      </c>
    </row>
    <row r="90" spans="1:14" x14ac:dyDescent="0.25">
      <c r="F90" s="9"/>
    </row>
    <row r="91" spans="1:14" ht="77.25" customHeight="1" x14ac:dyDescent="0.25">
      <c r="D91" s="31"/>
      <c r="E91" s="31"/>
      <c r="F91" s="31"/>
      <c r="G91" s="31"/>
      <c r="H91" s="29"/>
      <c r="I91" s="29"/>
      <c r="J91" s="32" t="s">
        <v>12</v>
      </c>
      <c r="K91" s="33"/>
      <c r="L91" s="10" t="s">
        <v>13</v>
      </c>
      <c r="M91" s="10" t="s">
        <v>14</v>
      </c>
      <c r="N91" s="10" t="s">
        <v>15</v>
      </c>
    </row>
    <row r="92" spans="1:14" ht="39" x14ac:dyDescent="0.25">
      <c r="D92" s="22" t="s">
        <v>16</v>
      </c>
      <c r="E92" s="11" t="s">
        <v>17</v>
      </c>
      <c r="F92" s="11" t="s">
        <v>18</v>
      </c>
      <c r="G92" s="11" t="s">
        <v>19</v>
      </c>
      <c r="H92" s="11"/>
      <c r="I92" s="11"/>
      <c r="J92" s="12" t="s">
        <v>20</v>
      </c>
      <c r="K92" s="12" t="s">
        <v>21</v>
      </c>
      <c r="L92" s="13"/>
      <c r="M92" s="13"/>
      <c r="N92" s="13"/>
    </row>
    <row r="93" spans="1:14" x14ac:dyDescent="0.25">
      <c r="D93" s="23">
        <f>COUNTIF(L24:L82,"&gt;=14")-COUNTIF(L24:L82,"&gt;=15.99")</f>
        <v>17</v>
      </c>
      <c r="E93" s="13">
        <f>COUNTIF(L24:L82,"&gt;=12")-COUNTIF(L24:L82,"&gt;=13.99")</f>
        <v>11</v>
      </c>
      <c r="F93" s="13">
        <f>COUNTIF(L24:L82,"&gt;=10")-COUNTIF(L24:L82,"&gt;=11.9")</f>
        <v>4</v>
      </c>
      <c r="G93" s="13">
        <f>COUNTIF(L24:L82,"&lt;10")</f>
        <v>3</v>
      </c>
      <c r="H93" s="13"/>
      <c r="I93" s="13"/>
      <c r="J93" s="13">
        <f>COUNTBLANK(H16:H82)</f>
        <v>1</v>
      </c>
      <c r="K93" s="13">
        <f>COUNTBLANK(J16:J82)</f>
        <v>1</v>
      </c>
      <c r="L93" s="13"/>
      <c r="M93" s="13">
        <f>ROWS(A16:A82)</f>
        <v>67</v>
      </c>
      <c r="N93" s="13"/>
    </row>
    <row r="95" spans="1:14" ht="18.75" x14ac:dyDescent="0.3">
      <c r="B95" s="14" t="s">
        <v>22</v>
      </c>
      <c r="E95" s="15" t="s">
        <v>23</v>
      </c>
      <c r="L95" s="14" t="s">
        <v>24</v>
      </c>
    </row>
    <row r="96" spans="1:14" x14ac:dyDescent="0.25">
      <c r="E96" s="16"/>
    </row>
    <row r="98" spans="2:6" ht="26.45" customHeight="1" x14ac:dyDescent="0.25">
      <c r="C98" s="24"/>
      <c r="E98" s="24"/>
    </row>
    <row r="99" spans="2:6" x14ac:dyDescent="0.25">
      <c r="B99" s="2" t="s">
        <v>539</v>
      </c>
    </row>
    <row r="104" spans="2:6" x14ac:dyDescent="0.25">
      <c r="F104" s="1"/>
    </row>
  </sheetData>
  <mergeCells count="9">
    <mergeCell ref="D91:G91"/>
    <mergeCell ref="J91:K91"/>
    <mergeCell ref="B83:K83"/>
    <mergeCell ref="D84:E84"/>
    <mergeCell ref="F84:K84"/>
    <mergeCell ref="D85:E85"/>
    <mergeCell ref="F85:K85"/>
    <mergeCell ref="D86:E86"/>
    <mergeCell ref="F86:K86"/>
  </mergeCells>
  <conditionalFormatting sqref="K16:K35 K37:K57 K59:K82">
    <cfRule type="cellIs" dxfId="13" priority="5" operator="lessThan">
      <formula>50</formula>
    </cfRule>
  </conditionalFormatting>
  <conditionalFormatting sqref="L16:L35 L37:L57 L59:L82">
    <cfRule type="cellIs" dxfId="12" priority="6" operator="lessThan">
      <formula>10</formula>
    </cfRule>
  </conditionalFormatting>
  <conditionalFormatting sqref="K36">
    <cfRule type="cellIs" dxfId="11" priority="4" operator="lessThan">
      <formula>50</formula>
    </cfRule>
  </conditionalFormatting>
  <conditionalFormatting sqref="L36">
    <cfRule type="cellIs" dxfId="10" priority="3" operator="lessThan">
      <formula>50</formula>
    </cfRule>
  </conditionalFormatting>
  <conditionalFormatting sqref="K58">
    <cfRule type="cellIs" dxfId="9" priority="2" operator="lessThan">
      <formula>50</formula>
    </cfRule>
  </conditionalFormatting>
  <conditionalFormatting sqref="L58">
    <cfRule type="cellIs" dxfId="8" priority="1" operator="lessThan">
      <formula>50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3AFD-9FCF-4B72-A9BF-371E78EFF62A}">
  <dimension ref="A1:S91"/>
  <sheetViews>
    <sheetView tabSelected="1" topLeftCell="A10" workbookViewId="0">
      <selection activeCell="O79" sqref="O79"/>
    </sheetView>
  </sheetViews>
  <sheetFormatPr defaultColWidth="9.140625" defaultRowHeight="15" x14ac:dyDescent="0.25"/>
  <cols>
    <col min="1" max="1" width="5.5703125" customWidth="1"/>
    <col min="2" max="2" width="7.28515625" customWidth="1"/>
    <col min="3" max="3" width="36.5703125" bestFit="1" customWidth="1"/>
    <col min="4" max="4" width="6.28515625" style="7" customWidth="1"/>
    <col min="5" max="5" width="5.7109375" customWidth="1"/>
    <col min="6" max="6" width="4.7109375" customWidth="1"/>
    <col min="7" max="9" width="5.42578125" customWidth="1"/>
    <col min="10" max="10" width="7.5703125" bestFit="1" customWidth="1"/>
    <col min="11" max="11" width="7.5703125" customWidth="1"/>
    <col min="12" max="12" width="7" customWidth="1"/>
  </cols>
  <sheetData>
    <row r="1" spans="1:12" s="1" customFormat="1" x14ac:dyDescent="0.25">
      <c r="D1" s="19"/>
    </row>
    <row r="2" spans="1:12" s="1" customFormat="1" x14ac:dyDescent="0.25">
      <c r="D2" s="19"/>
    </row>
    <row r="3" spans="1:12" s="1" customFormat="1" x14ac:dyDescent="0.25">
      <c r="D3" s="19"/>
    </row>
    <row r="4" spans="1:12" s="1" customFormat="1" x14ac:dyDescent="0.25">
      <c r="D4" s="19"/>
    </row>
    <row r="5" spans="1:12" s="1" customFormat="1" x14ac:dyDescent="0.25">
      <c r="D5" s="19"/>
    </row>
    <row r="6" spans="1:12" s="1" customFormat="1" x14ac:dyDescent="0.25">
      <c r="D6" s="19"/>
    </row>
    <row r="7" spans="1:12" s="1" customFormat="1" x14ac:dyDescent="0.25">
      <c r="A7" s="1" t="s">
        <v>8</v>
      </c>
      <c r="D7" s="20" t="s">
        <v>157</v>
      </c>
      <c r="E7" s="2"/>
      <c r="F7" s="2"/>
      <c r="G7" s="2"/>
      <c r="H7" s="2"/>
      <c r="I7" s="2"/>
      <c r="J7" s="2"/>
    </row>
    <row r="8" spans="1:12" s="1" customFormat="1" x14ac:dyDescent="0.25">
      <c r="A8" s="1" t="s">
        <v>0</v>
      </c>
      <c r="D8" s="19" t="s">
        <v>26</v>
      </c>
    </row>
    <row r="9" spans="1:12" s="1" customFormat="1" x14ac:dyDescent="0.25">
      <c r="A9" s="1" t="s">
        <v>155</v>
      </c>
      <c r="D9" s="19" t="s">
        <v>27</v>
      </c>
    </row>
    <row r="10" spans="1:12" s="1" customFormat="1" x14ac:dyDescent="0.25">
      <c r="A10" s="1" t="s">
        <v>154</v>
      </c>
      <c r="D10" s="19" t="s">
        <v>28</v>
      </c>
    </row>
    <row r="11" spans="1:12" s="1" customFormat="1" x14ac:dyDescent="0.25">
      <c r="A11" s="1" t="s">
        <v>29</v>
      </c>
      <c r="D11" s="19" t="s">
        <v>535</v>
      </c>
    </row>
    <row r="12" spans="1:12" s="1" customFormat="1" x14ac:dyDescent="0.25">
      <c r="D12" s="19"/>
    </row>
    <row r="13" spans="1:12" s="1" customFormat="1" x14ac:dyDescent="0.25">
      <c r="C13" s="2" t="s">
        <v>25</v>
      </c>
      <c r="D13" s="19"/>
    </row>
    <row r="14" spans="1:12" s="1" customFormat="1" x14ac:dyDescent="0.25">
      <c r="D14" s="19"/>
    </row>
    <row r="15" spans="1:12" ht="92.25" x14ac:dyDescent="0.25">
      <c r="A15" s="3" t="s">
        <v>1</v>
      </c>
      <c r="B15" s="3" t="s">
        <v>2</v>
      </c>
      <c r="C15" s="3" t="s">
        <v>3</v>
      </c>
      <c r="D15" s="21" t="s">
        <v>150</v>
      </c>
      <c r="E15" s="4" t="s">
        <v>151</v>
      </c>
      <c r="F15" s="4" t="s">
        <v>152</v>
      </c>
      <c r="G15" s="4" t="s">
        <v>536</v>
      </c>
      <c r="H15" s="4" t="s">
        <v>153</v>
      </c>
      <c r="I15" s="4" t="s">
        <v>537</v>
      </c>
      <c r="J15" s="4" t="s">
        <v>4</v>
      </c>
      <c r="K15" s="4" t="s">
        <v>532</v>
      </c>
      <c r="L15" s="4" t="s">
        <v>5</v>
      </c>
    </row>
    <row r="16" spans="1:12" ht="16.5" x14ac:dyDescent="0.3">
      <c r="A16" s="3">
        <v>1</v>
      </c>
      <c r="B16" s="26" t="s">
        <v>418</v>
      </c>
      <c r="C16" s="17" t="s">
        <v>419</v>
      </c>
      <c r="D16" s="27">
        <v>10</v>
      </c>
      <c r="E16" s="27">
        <v>10</v>
      </c>
      <c r="F16" s="27">
        <v>19</v>
      </c>
      <c r="G16" s="27">
        <f>(D16+E16+F16)*30/50</f>
        <v>23.4</v>
      </c>
      <c r="H16" s="27">
        <v>23</v>
      </c>
      <c r="I16" s="27">
        <f>H16+G16</f>
        <v>46.4</v>
      </c>
      <c r="J16" s="27">
        <v>25</v>
      </c>
      <c r="K16" s="27">
        <f>I16+J16</f>
        <v>71.400000000000006</v>
      </c>
      <c r="L16" s="3">
        <f>ROUND(K16*20/100,1)</f>
        <v>14.3</v>
      </c>
    </row>
    <row r="17" spans="1:12" ht="16.5" x14ac:dyDescent="0.3">
      <c r="A17" s="3">
        <v>2</v>
      </c>
      <c r="B17" s="28" t="s">
        <v>420</v>
      </c>
      <c r="C17" s="18" t="s">
        <v>421</v>
      </c>
      <c r="D17" s="3">
        <v>10</v>
      </c>
      <c r="E17" s="3">
        <v>19</v>
      </c>
      <c r="F17" s="3">
        <v>17</v>
      </c>
      <c r="G17" s="3">
        <f t="shared" ref="G17:G73" si="0">(D17+E17+F17)*30/50</f>
        <v>27.6</v>
      </c>
      <c r="H17" s="3">
        <v>19</v>
      </c>
      <c r="I17" s="27">
        <f>H17+G17</f>
        <v>46.6</v>
      </c>
      <c r="J17" s="3">
        <v>25</v>
      </c>
      <c r="K17" s="27">
        <f t="shared" ref="K17:K72" si="1">I17+J17</f>
        <v>71.599999999999994</v>
      </c>
      <c r="L17" s="3">
        <f t="shared" ref="L17:L74" si="2">ROUND(K17*20/100,1)</f>
        <v>14.3</v>
      </c>
    </row>
    <row r="18" spans="1:12" ht="16.5" x14ac:dyDescent="0.3">
      <c r="A18" s="3">
        <v>3</v>
      </c>
      <c r="B18" s="26" t="s">
        <v>422</v>
      </c>
      <c r="C18" s="17" t="s">
        <v>423</v>
      </c>
      <c r="D18" s="3">
        <v>5</v>
      </c>
      <c r="E18" s="3">
        <v>17</v>
      </c>
      <c r="F18" s="3">
        <v>17</v>
      </c>
      <c r="G18" s="3">
        <f t="shared" si="0"/>
        <v>23.4</v>
      </c>
      <c r="H18" s="3">
        <v>13</v>
      </c>
      <c r="I18" s="27">
        <f>H18+G18</f>
        <v>36.4</v>
      </c>
      <c r="J18" s="3">
        <v>9</v>
      </c>
      <c r="K18" s="27">
        <f t="shared" si="1"/>
        <v>45.4</v>
      </c>
      <c r="L18" s="3">
        <f t="shared" si="2"/>
        <v>9.1</v>
      </c>
    </row>
    <row r="19" spans="1:12" ht="16.5" x14ac:dyDescent="0.3">
      <c r="A19" s="3">
        <v>4</v>
      </c>
      <c r="B19" s="26" t="s">
        <v>424</v>
      </c>
      <c r="C19" s="17" t="s">
        <v>425</v>
      </c>
      <c r="D19" s="3">
        <v>5</v>
      </c>
      <c r="E19" s="3">
        <v>18</v>
      </c>
      <c r="F19" s="3">
        <v>10</v>
      </c>
      <c r="G19" s="3">
        <f t="shared" si="0"/>
        <v>19.8</v>
      </c>
      <c r="H19" s="3">
        <v>12</v>
      </c>
      <c r="I19" s="27">
        <f>H19+G19</f>
        <v>31.8</v>
      </c>
      <c r="J19" s="3">
        <v>24</v>
      </c>
      <c r="K19" s="27">
        <f t="shared" si="1"/>
        <v>55.8</v>
      </c>
      <c r="L19" s="3">
        <f t="shared" si="2"/>
        <v>11.2</v>
      </c>
    </row>
    <row r="20" spans="1:12" ht="16.5" x14ac:dyDescent="0.3">
      <c r="A20" s="3">
        <v>5</v>
      </c>
      <c r="B20" s="26" t="s">
        <v>426</v>
      </c>
      <c r="C20" s="17" t="s">
        <v>427</v>
      </c>
      <c r="D20" s="3">
        <v>10</v>
      </c>
      <c r="E20" s="3">
        <v>10</v>
      </c>
      <c r="F20" s="3">
        <v>16</v>
      </c>
      <c r="G20" s="3">
        <f t="shared" si="0"/>
        <v>21.6</v>
      </c>
      <c r="H20" s="3">
        <v>28</v>
      </c>
      <c r="I20" s="27">
        <f>H20+G20</f>
        <v>49.6</v>
      </c>
      <c r="J20" s="3">
        <v>30.5</v>
      </c>
      <c r="K20" s="27">
        <f t="shared" si="1"/>
        <v>80.099999999999994</v>
      </c>
      <c r="L20" s="3">
        <f t="shared" si="2"/>
        <v>16</v>
      </c>
    </row>
    <row r="21" spans="1:12" ht="16.5" x14ac:dyDescent="0.3">
      <c r="A21" s="3">
        <v>6</v>
      </c>
      <c r="B21" s="26" t="s">
        <v>428</v>
      </c>
      <c r="C21" s="17" t="s">
        <v>429</v>
      </c>
      <c r="D21" s="3">
        <v>10</v>
      </c>
      <c r="E21" s="3">
        <v>17</v>
      </c>
      <c r="F21" s="3">
        <v>17</v>
      </c>
      <c r="G21" s="3">
        <f t="shared" si="0"/>
        <v>26.4</v>
      </c>
      <c r="H21" s="3">
        <v>23</v>
      </c>
      <c r="I21" s="27">
        <f>H21+G21</f>
        <v>49.4</v>
      </c>
      <c r="J21" s="3">
        <v>13</v>
      </c>
      <c r="K21" s="27">
        <f t="shared" si="1"/>
        <v>62.4</v>
      </c>
      <c r="L21" s="3">
        <f t="shared" si="2"/>
        <v>12.5</v>
      </c>
    </row>
    <row r="22" spans="1:12" ht="16.5" x14ac:dyDescent="0.3">
      <c r="A22" s="3">
        <v>7</v>
      </c>
      <c r="B22" s="26" t="s">
        <v>430</v>
      </c>
      <c r="C22" s="17" t="s">
        <v>431</v>
      </c>
      <c r="D22" s="3">
        <v>10</v>
      </c>
      <c r="E22" s="3">
        <v>10</v>
      </c>
      <c r="F22" s="3">
        <v>10</v>
      </c>
      <c r="G22" s="3">
        <f t="shared" si="0"/>
        <v>18</v>
      </c>
      <c r="H22" s="3">
        <v>24</v>
      </c>
      <c r="I22" s="27">
        <f>H22+G22</f>
        <v>42</v>
      </c>
      <c r="J22" s="25"/>
      <c r="K22" s="42" t="s">
        <v>538</v>
      </c>
      <c r="L22" s="42" t="s">
        <v>538</v>
      </c>
    </row>
    <row r="23" spans="1:12" ht="16.5" x14ac:dyDescent="0.3">
      <c r="A23" s="3">
        <v>8</v>
      </c>
      <c r="B23" s="26" t="s">
        <v>432</v>
      </c>
      <c r="C23" s="17" t="s">
        <v>433</v>
      </c>
      <c r="D23" s="3">
        <v>10</v>
      </c>
      <c r="E23" s="3">
        <v>10</v>
      </c>
      <c r="F23" s="3">
        <v>16</v>
      </c>
      <c r="G23" s="3">
        <f t="shared" si="0"/>
        <v>21.6</v>
      </c>
      <c r="H23" s="3">
        <v>23</v>
      </c>
      <c r="I23" s="27">
        <f>H23+G23</f>
        <v>44.6</v>
      </c>
      <c r="J23" s="3">
        <v>30</v>
      </c>
      <c r="K23" s="27">
        <f t="shared" si="1"/>
        <v>74.599999999999994</v>
      </c>
      <c r="L23" s="3">
        <f t="shared" si="2"/>
        <v>14.9</v>
      </c>
    </row>
    <row r="24" spans="1:12" ht="16.5" x14ac:dyDescent="0.3">
      <c r="A24" s="3">
        <v>9</v>
      </c>
      <c r="B24" s="26" t="s">
        <v>434</v>
      </c>
      <c r="C24" s="17" t="s">
        <v>435</v>
      </c>
      <c r="D24" s="3">
        <v>10</v>
      </c>
      <c r="E24" s="3">
        <v>10</v>
      </c>
      <c r="F24" s="3">
        <v>16</v>
      </c>
      <c r="G24" s="3">
        <f t="shared" si="0"/>
        <v>21.6</v>
      </c>
      <c r="H24" s="3">
        <v>23</v>
      </c>
      <c r="I24" s="27">
        <f>H24+G24</f>
        <v>44.6</v>
      </c>
      <c r="J24" s="3">
        <v>25.5</v>
      </c>
      <c r="K24" s="27">
        <f t="shared" si="1"/>
        <v>70.099999999999994</v>
      </c>
      <c r="L24" s="3">
        <f t="shared" si="2"/>
        <v>14</v>
      </c>
    </row>
    <row r="25" spans="1:12" ht="16.5" x14ac:dyDescent="0.3">
      <c r="A25" s="3">
        <v>10</v>
      </c>
      <c r="B25" s="26" t="s">
        <v>436</v>
      </c>
      <c r="C25" s="17" t="s">
        <v>437</v>
      </c>
      <c r="D25" s="3">
        <v>10</v>
      </c>
      <c r="E25" s="3">
        <v>10</v>
      </c>
      <c r="F25" s="3">
        <v>16</v>
      </c>
      <c r="G25" s="3">
        <f t="shared" si="0"/>
        <v>21.6</v>
      </c>
      <c r="H25" s="3">
        <v>26</v>
      </c>
      <c r="I25" s="27">
        <f>H25+G25</f>
        <v>47.6</v>
      </c>
      <c r="J25" s="3">
        <v>29</v>
      </c>
      <c r="K25" s="27">
        <f t="shared" si="1"/>
        <v>76.599999999999994</v>
      </c>
      <c r="L25" s="3">
        <f t="shared" si="2"/>
        <v>15.3</v>
      </c>
    </row>
    <row r="26" spans="1:12" ht="14.25" customHeight="1" x14ac:dyDescent="0.3">
      <c r="A26" s="3">
        <v>11</v>
      </c>
      <c r="B26" s="26" t="s">
        <v>438</v>
      </c>
      <c r="C26" s="17" t="s">
        <v>439</v>
      </c>
      <c r="D26" s="3">
        <v>10</v>
      </c>
      <c r="E26" s="3">
        <v>10</v>
      </c>
      <c r="F26" s="3">
        <v>16</v>
      </c>
      <c r="G26" s="3">
        <f t="shared" si="0"/>
        <v>21.6</v>
      </c>
      <c r="H26" s="3">
        <v>24</v>
      </c>
      <c r="I26" s="27">
        <f>H26+G26</f>
        <v>45.6</v>
      </c>
      <c r="J26" s="3">
        <v>24</v>
      </c>
      <c r="K26" s="27">
        <f t="shared" si="1"/>
        <v>69.599999999999994</v>
      </c>
      <c r="L26" s="3">
        <f t="shared" si="2"/>
        <v>13.9</v>
      </c>
    </row>
    <row r="27" spans="1:12" ht="16.5" x14ac:dyDescent="0.3">
      <c r="A27" s="3">
        <v>12</v>
      </c>
      <c r="B27" s="26" t="s">
        <v>440</v>
      </c>
      <c r="C27" s="17" t="s">
        <v>441</v>
      </c>
      <c r="D27" s="3">
        <v>10</v>
      </c>
      <c r="E27" s="3">
        <v>17</v>
      </c>
      <c r="F27" s="3">
        <v>19</v>
      </c>
      <c r="G27" s="3">
        <f t="shared" si="0"/>
        <v>27.6</v>
      </c>
      <c r="H27" s="3">
        <v>21</v>
      </c>
      <c r="I27" s="27">
        <f>H27+G27</f>
        <v>48.6</v>
      </c>
      <c r="J27" s="3">
        <v>25</v>
      </c>
      <c r="K27" s="27">
        <f t="shared" si="1"/>
        <v>73.599999999999994</v>
      </c>
      <c r="L27" s="3">
        <f t="shared" si="2"/>
        <v>14.7</v>
      </c>
    </row>
    <row r="28" spans="1:12" ht="16.5" x14ac:dyDescent="0.3">
      <c r="A28" s="3">
        <v>13</v>
      </c>
      <c r="B28" s="26" t="s">
        <v>442</v>
      </c>
      <c r="C28" s="17" t="s">
        <v>443</v>
      </c>
      <c r="D28" s="3">
        <v>10</v>
      </c>
      <c r="E28" s="3">
        <v>19</v>
      </c>
      <c r="F28" s="3">
        <v>17</v>
      </c>
      <c r="G28" s="3">
        <f t="shared" si="0"/>
        <v>27.6</v>
      </c>
      <c r="H28" s="3">
        <v>25</v>
      </c>
      <c r="I28" s="27">
        <f>H28+G28</f>
        <v>52.6</v>
      </c>
      <c r="J28" s="3">
        <v>24</v>
      </c>
      <c r="K28" s="27">
        <f t="shared" si="1"/>
        <v>76.599999999999994</v>
      </c>
      <c r="L28" s="3">
        <f t="shared" si="2"/>
        <v>15.3</v>
      </c>
    </row>
    <row r="29" spans="1:12" ht="16.5" x14ac:dyDescent="0.3">
      <c r="A29" s="3">
        <v>14</v>
      </c>
      <c r="B29" s="26" t="s">
        <v>444</v>
      </c>
      <c r="C29" s="17" t="s">
        <v>167</v>
      </c>
      <c r="D29" s="3">
        <v>5</v>
      </c>
      <c r="E29" s="3">
        <v>10</v>
      </c>
      <c r="F29" s="3">
        <v>19</v>
      </c>
      <c r="G29" s="3">
        <f t="shared" si="0"/>
        <v>20.399999999999999</v>
      </c>
      <c r="H29" s="3">
        <v>21</v>
      </c>
      <c r="I29" s="27">
        <f>H29+G29</f>
        <v>41.4</v>
      </c>
      <c r="J29" s="3">
        <v>28</v>
      </c>
      <c r="K29" s="27">
        <f t="shared" si="1"/>
        <v>69.400000000000006</v>
      </c>
      <c r="L29" s="3">
        <f t="shared" si="2"/>
        <v>13.9</v>
      </c>
    </row>
    <row r="30" spans="1:12" ht="16.5" x14ac:dyDescent="0.3">
      <c r="A30" s="3">
        <v>15</v>
      </c>
      <c r="B30" s="26" t="s">
        <v>445</v>
      </c>
      <c r="C30" s="17" t="s">
        <v>446</v>
      </c>
      <c r="D30" s="3">
        <v>10</v>
      </c>
      <c r="E30" s="3">
        <v>10</v>
      </c>
      <c r="F30" s="3">
        <v>19</v>
      </c>
      <c r="G30" s="3">
        <f t="shared" si="0"/>
        <v>23.4</v>
      </c>
      <c r="H30" s="3">
        <v>7</v>
      </c>
      <c r="I30" s="27">
        <f>H30+G30</f>
        <v>30.4</v>
      </c>
      <c r="J30" s="3">
        <v>17</v>
      </c>
      <c r="K30" s="27">
        <f t="shared" si="1"/>
        <v>47.4</v>
      </c>
      <c r="L30" s="3">
        <f t="shared" si="2"/>
        <v>9.5</v>
      </c>
    </row>
    <row r="31" spans="1:12" ht="16.5" x14ac:dyDescent="0.3">
      <c r="A31" s="3">
        <v>16</v>
      </c>
      <c r="B31" s="26" t="s">
        <v>447</v>
      </c>
      <c r="C31" s="17" t="s">
        <v>448</v>
      </c>
      <c r="D31" s="3">
        <v>10</v>
      </c>
      <c r="E31" s="3">
        <v>10</v>
      </c>
      <c r="F31" s="3">
        <v>10</v>
      </c>
      <c r="G31" s="3">
        <f t="shared" si="0"/>
        <v>18</v>
      </c>
      <c r="H31" s="3">
        <v>14</v>
      </c>
      <c r="I31" s="27">
        <f>H31+G31</f>
        <v>32</v>
      </c>
      <c r="J31" s="3">
        <v>19.5</v>
      </c>
      <c r="K31" s="27">
        <f t="shared" si="1"/>
        <v>51.5</v>
      </c>
      <c r="L31" s="3">
        <f t="shared" si="2"/>
        <v>10.3</v>
      </c>
    </row>
    <row r="32" spans="1:12" ht="16.5" x14ac:dyDescent="0.3">
      <c r="A32" s="3">
        <v>17</v>
      </c>
      <c r="B32" s="26" t="s">
        <v>449</v>
      </c>
      <c r="C32" s="17" t="s">
        <v>450</v>
      </c>
      <c r="D32" s="3">
        <v>10</v>
      </c>
      <c r="E32" s="3">
        <v>18</v>
      </c>
      <c r="F32" s="3">
        <v>19</v>
      </c>
      <c r="G32" s="3">
        <f t="shared" si="0"/>
        <v>28.2</v>
      </c>
      <c r="H32" s="3">
        <v>25</v>
      </c>
      <c r="I32" s="27">
        <f>H32+G32</f>
        <v>53.2</v>
      </c>
      <c r="J32" s="3">
        <v>30</v>
      </c>
      <c r="K32" s="27">
        <f t="shared" si="1"/>
        <v>83.2</v>
      </c>
      <c r="L32" s="3">
        <f t="shared" si="2"/>
        <v>16.600000000000001</v>
      </c>
    </row>
    <row r="33" spans="1:16" ht="16.5" x14ac:dyDescent="0.3">
      <c r="A33" s="3">
        <v>18</v>
      </c>
      <c r="B33" s="28" t="s">
        <v>451</v>
      </c>
      <c r="C33" s="18" t="s">
        <v>452</v>
      </c>
      <c r="D33" s="3">
        <v>10</v>
      </c>
      <c r="E33" s="3">
        <v>10</v>
      </c>
      <c r="F33" s="3">
        <v>19</v>
      </c>
      <c r="G33" s="3">
        <f t="shared" si="0"/>
        <v>23.4</v>
      </c>
      <c r="H33" s="3">
        <v>14</v>
      </c>
      <c r="I33" s="27">
        <f>H33+G33</f>
        <v>37.4</v>
      </c>
      <c r="J33" s="3">
        <v>32</v>
      </c>
      <c r="K33" s="27">
        <f t="shared" si="1"/>
        <v>69.400000000000006</v>
      </c>
      <c r="L33" s="3">
        <f t="shared" si="2"/>
        <v>13.9</v>
      </c>
    </row>
    <row r="34" spans="1:16" ht="16.5" customHeight="1" x14ac:dyDescent="0.3">
      <c r="A34" s="3">
        <v>19</v>
      </c>
      <c r="B34" s="26" t="s">
        <v>453</v>
      </c>
      <c r="C34" s="17" t="s">
        <v>454</v>
      </c>
      <c r="D34" s="3">
        <v>10</v>
      </c>
      <c r="E34" s="3">
        <v>19</v>
      </c>
      <c r="F34" s="3">
        <v>17</v>
      </c>
      <c r="G34" s="3">
        <f t="shared" si="0"/>
        <v>27.6</v>
      </c>
      <c r="H34" s="3">
        <v>20</v>
      </c>
      <c r="I34" s="27">
        <f>H34+G34</f>
        <v>47.6</v>
      </c>
      <c r="J34" s="3">
        <v>20</v>
      </c>
      <c r="K34" s="27">
        <f t="shared" si="1"/>
        <v>67.599999999999994</v>
      </c>
      <c r="L34" s="3">
        <f t="shared" si="2"/>
        <v>13.5</v>
      </c>
    </row>
    <row r="35" spans="1:16" ht="16.5" x14ac:dyDescent="0.3">
      <c r="A35" s="3">
        <v>20</v>
      </c>
      <c r="B35" s="26" t="s">
        <v>455</v>
      </c>
      <c r="C35" s="17" t="s">
        <v>456</v>
      </c>
      <c r="D35" s="3">
        <v>10</v>
      </c>
      <c r="E35" s="3">
        <v>19</v>
      </c>
      <c r="F35" s="3">
        <v>18</v>
      </c>
      <c r="G35" s="3">
        <f t="shared" si="0"/>
        <v>28.2</v>
      </c>
      <c r="H35" s="3">
        <v>15</v>
      </c>
      <c r="I35" s="27">
        <f>H35+G35</f>
        <v>43.2</v>
      </c>
      <c r="J35" s="3">
        <v>11.5</v>
      </c>
      <c r="K35" s="27">
        <f t="shared" si="1"/>
        <v>54.7</v>
      </c>
      <c r="L35" s="3">
        <f t="shared" si="2"/>
        <v>10.9</v>
      </c>
    </row>
    <row r="36" spans="1:16" ht="16.5" x14ac:dyDescent="0.3">
      <c r="A36" s="3">
        <v>21</v>
      </c>
      <c r="B36" s="26" t="s">
        <v>457</v>
      </c>
      <c r="C36" s="17" t="s">
        <v>458</v>
      </c>
      <c r="D36" s="3">
        <v>10</v>
      </c>
      <c r="E36" s="3">
        <v>14</v>
      </c>
      <c r="F36" s="3">
        <v>17</v>
      </c>
      <c r="G36" s="3">
        <f t="shared" si="0"/>
        <v>24.6</v>
      </c>
      <c r="H36" s="3">
        <v>13</v>
      </c>
      <c r="I36" s="27">
        <f>H36+G36</f>
        <v>37.6</v>
      </c>
      <c r="J36" s="3">
        <v>12.5</v>
      </c>
      <c r="K36" s="27">
        <f t="shared" si="1"/>
        <v>50.1</v>
      </c>
      <c r="L36" s="3">
        <f t="shared" si="2"/>
        <v>10</v>
      </c>
    </row>
    <row r="37" spans="1:16" ht="16.5" x14ac:dyDescent="0.3">
      <c r="A37" s="3">
        <v>22</v>
      </c>
      <c r="B37" s="26" t="s">
        <v>459</v>
      </c>
      <c r="C37" s="17" t="s">
        <v>460</v>
      </c>
      <c r="D37" s="3">
        <v>10</v>
      </c>
      <c r="E37" s="3">
        <v>10</v>
      </c>
      <c r="F37" s="3">
        <v>19</v>
      </c>
      <c r="G37" s="3">
        <f t="shared" si="0"/>
        <v>23.4</v>
      </c>
      <c r="H37" s="3">
        <v>19</v>
      </c>
      <c r="I37" s="27">
        <f>H37+G37</f>
        <v>42.4</v>
      </c>
      <c r="J37" s="3">
        <v>17.5</v>
      </c>
      <c r="K37" s="27">
        <f t="shared" si="1"/>
        <v>59.9</v>
      </c>
      <c r="L37" s="3">
        <f t="shared" si="2"/>
        <v>12</v>
      </c>
    </row>
    <row r="38" spans="1:16" ht="16.5" x14ac:dyDescent="0.3">
      <c r="A38" s="3">
        <v>23</v>
      </c>
      <c r="B38" s="26" t="s">
        <v>461</v>
      </c>
      <c r="C38" s="17" t="s">
        <v>462</v>
      </c>
      <c r="D38" s="3">
        <v>10</v>
      </c>
      <c r="E38" s="3">
        <v>19</v>
      </c>
      <c r="F38" s="3">
        <v>19</v>
      </c>
      <c r="G38" s="3">
        <f t="shared" si="0"/>
        <v>28.8</v>
      </c>
      <c r="H38" s="3">
        <v>22</v>
      </c>
      <c r="I38" s="27">
        <f>H38+G38</f>
        <v>50.8</v>
      </c>
      <c r="J38" s="3">
        <v>30.5</v>
      </c>
      <c r="K38" s="27">
        <f t="shared" si="1"/>
        <v>81.3</v>
      </c>
      <c r="L38" s="3">
        <f t="shared" si="2"/>
        <v>16.3</v>
      </c>
    </row>
    <row r="39" spans="1:16" ht="16.5" x14ac:dyDescent="0.3">
      <c r="A39" s="3">
        <v>24</v>
      </c>
      <c r="B39" s="26" t="s">
        <v>463</v>
      </c>
      <c r="C39" s="17" t="s">
        <v>464</v>
      </c>
      <c r="D39" s="3">
        <v>10</v>
      </c>
      <c r="E39" s="3">
        <v>19</v>
      </c>
      <c r="F39" s="3">
        <v>19</v>
      </c>
      <c r="G39" s="3">
        <f t="shared" si="0"/>
        <v>28.8</v>
      </c>
      <c r="H39" s="3">
        <v>29</v>
      </c>
      <c r="I39" s="27">
        <f>H39+G39</f>
        <v>57.8</v>
      </c>
      <c r="J39" s="3">
        <v>34</v>
      </c>
      <c r="K39" s="27">
        <f t="shared" si="1"/>
        <v>91.8</v>
      </c>
      <c r="L39" s="3">
        <f t="shared" si="2"/>
        <v>18.399999999999999</v>
      </c>
    </row>
    <row r="40" spans="1:16" ht="16.5" x14ac:dyDescent="0.3">
      <c r="A40" s="3">
        <v>25</v>
      </c>
      <c r="B40" s="26" t="s">
        <v>465</v>
      </c>
      <c r="C40" s="17" t="s">
        <v>466</v>
      </c>
      <c r="D40" s="3">
        <v>5</v>
      </c>
      <c r="E40" s="3">
        <v>18</v>
      </c>
      <c r="F40" s="3">
        <v>16</v>
      </c>
      <c r="G40" s="3">
        <f t="shared" si="0"/>
        <v>23.4</v>
      </c>
      <c r="H40" s="3">
        <v>25</v>
      </c>
      <c r="I40" s="27">
        <f>H40+G40</f>
        <v>48.4</v>
      </c>
      <c r="J40" s="3">
        <v>29</v>
      </c>
      <c r="K40" s="27">
        <f t="shared" si="1"/>
        <v>77.400000000000006</v>
      </c>
      <c r="L40" s="3">
        <f t="shared" si="2"/>
        <v>15.5</v>
      </c>
    </row>
    <row r="41" spans="1:16" ht="16.5" x14ac:dyDescent="0.3">
      <c r="A41" s="3">
        <v>26</v>
      </c>
      <c r="B41" s="26" t="s">
        <v>467</v>
      </c>
      <c r="C41" s="17" t="s">
        <v>468</v>
      </c>
      <c r="D41" s="3">
        <v>10</v>
      </c>
      <c r="E41" s="3">
        <v>10</v>
      </c>
      <c r="F41" s="3">
        <v>17</v>
      </c>
      <c r="G41" s="3">
        <f t="shared" si="0"/>
        <v>22.2</v>
      </c>
      <c r="H41" s="3">
        <v>25</v>
      </c>
      <c r="I41" s="27">
        <f>H41+G41</f>
        <v>47.2</v>
      </c>
      <c r="J41" s="3">
        <v>13.5</v>
      </c>
      <c r="K41" s="27">
        <f t="shared" si="1"/>
        <v>60.7</v>
      </c>
      <c r="L41" s="3">
        <f t="shared" si="2"/>
        <v>12.1</v>
      </c>
    </row>
    <row r="42" spans="1:16" ht="16.5" x14ac:dyDescent="0.3">
      <c r="A42" s="3">
        <v>27</v>
      </c>
      <c r="B42" s="26" t="s">
        <v>469</v>
      </c>
      <c r="C42" s="17" t="s">
        <v>470</v>
      </c>
      <c r="D42" s="3">
        <v>10</v>
      </c>
      <c r="E42" s="3">
        <v>10</v>
      </c>
      <c r="F42" s="3">
        <v>19</v>
      </c>
      <c r="G42" s="3">
        <f t="shared" si="0"/>
        <v>23.4</v>
      </c>
      <c r="H42" s="3">
        <v>13</v>
      </c>
      <c r="I42" s="27">
        <f>H42+G42</f>
        <v>36.4</v>
      </c>
      <c r="J42" s="3">
        <v>20</v>
      </c>
      <c r="K42" s="27">
        <f t="shared" si="1"/>
        <v>56.4</v>
      </c>
      <c r="L42" s="3">
        <f t="shared" si="2"/>
        <v>11.3</v>
      </c>
    </row>
    <row r="43" spans="1:16" ht="16.5" x14ac:dyDescent="0.3">
      <c r="A43" s="3">
        <v>28</v>
      </c>
      <c r="B43" s="26" t="s">
        <v>471</v>
      </c>
      <c r="C43" s="17" t="s">
        <v>472</v>
      </c>
      <c r="D43" s="3">
        <v>10</v>
      </c>
      <c r="E43" s="3">
        <v>19</v>
      </c>
      <c r="F43" s="3">
        <v>19</v>
      </c>
      <c r="G43" s="3">
        <f t="shared" si="0"/>
        <v>28.8</v>
      </c>
      <c r="H43" s="3">
        <v>24</v>
      </c>
      <c r="I43" s="27">
        <f>H43+G43</f>
        <v>52.8</v>
      </c>
      <c r="J43" s="3">
        <v>33</v>
      </c>
      <c r="K43" s="27">
        <f t="shared" si="1"/>
        <v>85.8</v>
      </c>
      <c r="L43" s="3">
        <f t="shared" si="2"/>
        <v>17.2</v>
      </c>
    </row>
    <row r="44" spans="1:16" ht="16.5" x14ac:dyDescent="0.3">
      <c r="A44" s="3">
        <v>29</v>
      </c>
      <c r="B44" s="26" t="s">
        <v>473</v>
      </c>
      <c r="C44" s="17" t="s">
        <v>474</v>
      </c>
      <c r="D44" s="3">
        <v>10</v>
      </c>
      <c r="E44" s="3">
        <v>10</v>
      </c>
      <c r="F44" s="3">
        <v>19</v>
      </c>
      <c r="G44" s="3">
        <f t="shared" si="0"/>
        <v>23.4</v>
      </c>
      <c r="H44" s="3">
        <v>18</v>
      </c>
      <c r="I44" s="27">
        <f>H44+G44</f>
        <v>41.4</v>
      </c>
      <c r="J44" s="3">
        <v>32</v>
      </c>
      <c r="K44" s="27">
        <f t="shared" si="1"/>
        <v>73.400000000000006</v>
      </c>
      <c r="L44" s="3">
        <f t="shared" si="2"/>
        <v>14.7</v>
      </c>
    </row>
    <row r="45" spans="1:16" ht="16.5" x14ac:dyDescent="0.3">
      <c r="A45" s="3">
        <v>30</v>
      </c>
      <c r="B45" s="26" t="s">
        <v>475</v>
      </c>
      <c r="C45" s="17" t="s">
        <v>476</v>
      </c>
      <c r="D45" s="3">
        <v>10</v>
      </c>
      <c r="E45" s="3">
        <v>10</v>
      </c>
      <c r="F45" s="3">
        <v>19</v>
      </c>
      <c r="G45" s="3">
        <f t="shared" si="0"/>
        <v>23.4</v>
      </c>
      <c r="H45" s="3">
        <v>5</v>
      </c>
      <c r="I45" s="27">
        <f>H45+G45</f>
        <v>28.4</v>
      </c>
      <c r="J45" s="3">
        <v>27</v>
      </c>
      <c r="K45" s="27">
        <f t="shared" si="1"/>
        <v>55.4</v>
      </c>
      <c r="L45" s="3">
        <f t="shared" si="2"/>
        <v>11.1</v>
      </c>
    </row>
    <row r="46" spans="1:16" ht="16.5" x14ac:dyDescent="0.3">
      <c r="A46" s="3">
        <v>31</v>
      </c>
      <c r="B46" s="26" t="s">
        <v>477</v>
      </c>
      <c r="C46" s="17" t="s">
        <v>478</v>
      </c>
      <c r="D46" s="3">
        <v>10</v>
      </c>
      <c r="E46" s="3">
        <v>10</v>
      </c>
      <c r="F46" s="3">
        <v>10</v>
      </c>
      <c r="G46" s="3">
        <f t="shared" si="0"/>
        <v>18</v>
      </c>
      <c r="H46" s="3">
        <v>21</v>
      </c>
      <c r="I46" s="27">
        <f>H46+G46</f>
        <v>39</v>
      </c>
      <c r="J46" s="3">
        <v>23</v>
      </c>
      <c r="K46" s="27">
        <f t="shared" si="1"/>
        <v>62</v>
      </c>
      <c r="L46" s="3">
        <f t="shared" si="2"/>
        <v>12.4</v>
      </c>
    </row>
    <row r="47" spans="1:16" ht="16.5" x14ac:dyDescent="0.3">
      <c r="A47" s="3">
        <v>32</v>
      </c>
      <c r="B47" s="26" t="s">
        <v>479</v>
      </c>
      <c r="C47" s="17" t="s">
        <v>480</v>
      </c>
      <c r="D47" s="3">
        <v>10</v>
      </c>
      <c r="E47" s="3">
        <v>14</v>
      </c>
      <c r="F47" s="3">
        <v>18</v>
      </c>
      <c r="G47" s="3">
        <f t="shared" si="0"/>
        <v>25.2</v>
      </c>
      <c r="H47" s="3">
        <v>20</v>
      </c>
      <c r="I47" s="27">
        <f>H47+G47</f>
        <v>45.2</v>
      </c>
      <c r="J47" s="3">
        <v>33</v>
      </c>
      <c r="K47" s="27">
        <f t="shared" si="1"/>
        <v>78.2</v>
      </c>
      <c r="L47" s="3">
        <f t="shared" si="2"/>
        <v>15.6</v>
      </c>
    </row>
    <row r="48" spans="1:16" s="7" customFormat="1" ht="16.5" x14ac:dyDescent="0.3">
      <c r="A48" s="3">
        <v>33</v>
      </c>
      <c r="B48" s="26" t="s">
        <v>481</v>
      </c>
      <c r="C48" s="17" t="s">
        <v>482</v>
      </c>
      <c r="D48" s="3">
        <v>10</v>
      </c>
      <c r="E48" s="3">
        <v>18</v>
      </c>
      <c r="F48" s="3">
        <v>17</v>
      </c>
      <c r="G48" s="3">
        <f t="shared" si="0"/>
        <v>27</v>
      </c>
      <c r="H48" s="3">
        <v>26</v>
      </c>
      <c r="I48" s="27">
        <f>H48+G48</f>
        <v>53</v>
      </c>
      <c r="J48" s="3">
        <v>20</v>
      </c>
      <c r="K48" s="27">
        <f t="shared" si="1"/>
        <v>73</v>
      </c>
      <c r="L48" s="3">
        <f t="shared" si="2"/>
        <v>14.6</v>
      </c>
      <c r="M48"/>
      <c r="N48"/>
      <c r="O48"/>
      <c r="P48"/>
    </row>
    <row r="49" spans="1:19" s="7" customFormat="1" ht="16.5" x14ac:dyDescent="0.3">
      <c r="A49" s="3">
        <v>34</v>
      </c>
      <c r="B49" s="26" t="s">
        <v>483</v>
      </c>
      <c r="C49" s="17" t="s">
        <v>484</v>
      </c>
      <c r="D49" s="3">
        <v>10</v>
      </c>
      <c r="E49" s="3">
        <v>18</v>
      </c>
      <c r="F49" s="3">
        <v>17</v>
      </c>
      <c r="G49" s="3">
        <f t="shared" si="0"/>
        <v>27</v>
      </c>
      <c r="H49" s="3">
        <v>26</v>
      </c>
      <c r="I49" s="27">
        <f>H49+G49</f>
        <v>53</v>
      </c>
      <c r="J49" s="3">
        <v>26.5</v>
      </c>
      <c r="K49" s="27">
        <f t="shared" si="1"/>
        <v>79.5</v>
      </c>
      <c r="L49" s="3">
        <f t="shared" si="2"/>
        <v>15.9</v>
      </c>
      <c r="M49"/>
      <c r="N49"/>
    </row>
    <row r="50" spans="1:19" s="7" customFormat="1" ht="16.5" x14ac:dyDescent="0.3">
      <c r="A50" s="3">
        <v>35</v>
      </c>
      <c r="B50" s="26" t="s">
        <v>485</v>
      </c>
      <c r="C50" s="17" t="s">
        <v>486</v>
      </c>
      <c r="D50" s="3">
        <v>10</v>
      </c>
      <c r="E50" s="3">
        <v>18</v>
      </c>
      <c r="F50" s="3">
        <v>18</v>
      </c>
      <c r="G50" s="3">
        <f t="shared" si="0"/>
        <v>27.6</v>
      </c>
      <c r="H50" s="3">
        <v>18</v>
      </c>
      <c r="I50" s="27">
        <f>H50+G50</f>
        <v>45.6</v>
      </c>
      <c r="J50" s="3">
        <v>23</v>
      </c>
      <c r="K50" s="27">
        <f t="shared" si="1"/>
        <v>68.599999999999994</v>
      </c>
      <c r="L50" s="3">
        <f t="shared" si="2"/>
        <v>13.7</v>
      </c>
      <c r="M50"/>
      <c r="N50"/>
    </row>
    <row r="51" spans="1:19" s="7" customFormat="1" ht="16.5" x14ac:dyDescent="0.3">
      <c r="A51" s="3">
        <v>36</v>
      </c>
      <c r="B51" s="26" t="s">
        <v>487</v>
      </c>
      <c r="C51" s="17" t="s">
        <v>488</v>
      </c>
      <c r="D51" s="3">
        <v>10</v>
      </c>
      <c r="E51" s="3">
        <v>18</v>
      </c>
      <c r="F51" s="3">
        <v>18</v>
      </c>
      <c r="G51" s="3">
        <f t="shared" si="0"/>
        <v>27.6</v>
      </c>
      <c r="H51" s="3">
        <v>28</v>
      </c>
      <c r="I51" s="27">
        <f>H51+G51</f>
        <v>55.6</v>
      </c>
      <c r="J51" s="3">
        <v>39</v>
      </c>
      <c r="K51" s="27">
        <f t="shared" si="1"/>
        <v>94.6</v>
      </c>
      <c r="L51" s="3">
        <f t="shared" si="2"/>
        <v>18.899999999999999</v>
      </c>
      <c r="M51"/>
      <c r="N51"/>
    </row>
    <row r="52" spans="1:19" s="7" customFormat="1" ht="16.5" x14ac:dyDescent="0.3">
      <c r="A52" s="3">
        <v>37</v>
      </c>
      <c r="B52" s="26" t="s">
        <v>489</v>
      </c>
      <c r="C52" s="17" t="s">
        <v>490</v>
      </c>
      <c r="D52" s="3">
        <v>10</v>
      </c>
      <c r="E52" s="3">
        <v>14</v>
      </c>
      <c r="F52" s="3">
        <v>16</v>
      </c>
      <c r="G52" s="3">
        <f t="shared" si="0"/>
        <v>24</v>
      </c>
      <c r="H52" s="3">
        <v>22</v>
      </c>
      <c r="I52" s="27">
        <f>H52+G52</f>
        <v>46</v>
      </c>
      <c r="J52" s="3">
        <v>20.5</v>
      </c>
      <c r="K52" s="27">
        <f t="shared" si="1"/>
        <v>66.5</v>
      </c>
      <c r="L52" s="3">
        <f t="shared" si="2"/>
        <v>13.3</v>
      </c>
      <c r="M52"/>
      <c r="N52"/>
    </row>
    <row r="53" spans="1:19" s="7" customFormat="1" ht="16.5" x14ac:dyDescent="0.3">
      <c r="A53" s="3">
        <v>38</v>
      </c>
      <c r="B53" s="26" t="s">
        <v>491</v>
      </c>
      <c r="C53" s="17" t="s">
        <v>492</v>
      </c>
      <c r="D53" s="3">
        <v>5</v>
      </c>
      <c r="E53" s="3">
        <v>18</v>
      </c>
      <c r="F53" s="3">
        <v>10</v>
      </c>
      <c r="G53" s="3">
        <f t="shared" si="0"/>
        <v>19.8</v>
      </c>
      <c r="H53" s="3">
        <v>19</v>
      </c>
      <c r="I53" s="27">
        <f>H53+G53</f>
        <v>38.799999999999997</v>
      </c>
      <c r="J53" s="3">
        <v>28.5</v>
      </c>
      <c r="K53" s="27">
        <f t="shared" si="1"/>
        <v>67.3</v>
      </c>
      <c r="L53" s="3">
        <f t="shared" si="2"/>
        <v>13.5</v>
      </c>
      <c r="M53"/>
      <c r="N53"/>
    </row>
    <row r="54" spans="1:19" s="7" customFormat="1" ht="16.5" x14ac:dyDescent="0.3">
      <c r="A54" s="3">
        <v>39</v>
      </c>
      <c r="B54" s="26" t="s">
        <v>493</v>
      </c>
      <c r="C54" s="17" t="s">
        <v>494</v>
      </c>
      <c r="D54" s="3">
        <v>10</v>
      </c>
      <c r="E54" s="3">
        <v>18</v>
      </c>
      <c r="F54" s="3">
        <v>18</v>
      </c>
      <c r="G54" s="3">
        <f t="shared" si="0"/>
        <v>27.6</v>
      </c>
      <c r="H54" s="3">
        <v>19</v>
      </c>
      <c r="I54" s="27">
        <f>H54+G54</f>
        <v>46.6</v>
      </c>
      <c r="J54" s="3">
        <v>21.5</v>
      </c>
      <c r="K54" s="27">
        <f t="shared" si="1"/>
        <v>68.099999999999994</v>
      </c>
      <c r="L54" s="3">
        <f t="shared" si="2"/>
        <v>13.6</v>
      </c>
      <c r="M54"/>
      <c r="N54"/>
    </row>
    <row r="55" spans="1:19" s="7" customFormat="1" ht="16.5" x14ac:dyDescent="0.3">
      <c r="A55" s="3">
        <v>40</v>
      </c>
      <c r="B55" s="26" t="s">
        <v>495</v>
      </c>
      <c r="C55" s="17" t="s">
        <v>496</v>
      </c>
      <c r="D55" s="3">
        <v>10</v>
      </c>
      <c r="E55" s="3">
        <v>10</v>
      </c>
      <c r="F55" s="3">
        <v>18</v>
      </c>
      <c r="G55" s="3">
        <f t="shared" si="0"/>
        <v>22.8</v>
      </c>
      <c r="H55" s="3">
        <v>17</v>
      </c>
      <c r="I55" s="27">
        <f>H55+G55</f>
        <v>39.799999999999997</v>
      </c>
      <c r="J55" s="3">
        <v>19</v>
      </c>
      <c r="K55" s="27">
        <f t="shared" si="1"/>
        <v>58.8</v>
      </c>
      <c r="L55" s="3">
        <f t="shared" si="2"/>
        <v>11.8</v>
      </c>
      <c r="M55"/>
      <c r="N55"/>
    </row>
    <row r="56" spans="1:19" s="7" customFormat="1" ht="16.5" x14ac:dyDescent="0.3">
      <c r="A56" s="3">
        <v>41</v>
      </c>
      <c r="B56" s="26" t="s">
        <v>497</v>
      </c>
      <c r="C56" s="17" t="s">
        <v>498</v>
      </c>
      <c r="D56" s="3">
        <v>10</v>
      </c>
      <c r="E56" s="3">
        <v>17</v>
      </c>
      <c r="F56" s="3">
        <v>18</v>
      </c>
      <c r="G56" s="3">
        <f t="shared" si="0"/>
        <v>27</v>
      </c>
      <c r="H56" s="3">
        <v>23</v>
      </c>
      <c r="I56" s="27">
        <f>H56+G56</f>
        <v>50</v>
      </c>
      <c r="J56" s="3">
        <v>27.5</v>
      </c>
      <c r="K56" s="27">
        <f t="shared" si="1"/>
        <v>77.5</v>
      </c>
      <c r="L56" s="3">
        <f t="shared" si="2"/>
        <v>15.5</v>
      </c>
      <c r="M56"/>
      <c r="N56"/>
      <c r="O56"/>
      <c r="P56"/>
    </row>
    <row r="57" spans="1:19" s="7" customFormat="1" ht="16.5" x14ac:dyDescent="0.3">
      <c r="A57" s="3">
        <v>42</v>
      </c>
      <c r="B57" s="26" t="s">
        <v>499</v>
      </c>
      <c r="C57" s="17" t="s">
        <v>500</v>
      </c>
      <c r="D57" s="3">
        <v>10</v>
      </c>
      <c r="E57" s="3">
        <v>14</v>
      </c>
      <c r="F57" s="3">
        <v>19</v>
      </c>
      <c r="G57" s="3">
        <f t="shared" si="0"/>
        <v>25.8</v>
      </c>
      <c r="H57" s="3">
        <v>22</v>
      </c>
      <c r="I57" s="27">
        <f>H57+G57</f>
        <v>47.8</v>
      </c>
      <c r="J57" s="3">
        <v>11.5</v>
      </c>
      <c r="K57" s="27">
        <f t="shared" si="1"/>
        <v>59.3</v>
      </c>
      <c r="L57" s="3">
        <f t="shared" si="2"/>
        <v>11.9</v>
      </c>
      <c r="M57"/>
      <c r="N57"/>
    </row>
    <row r="58" spans="1:19" s="7" customFormat="1" ht="16.5" x14ac:dyDescent="0.3">
      <c r="A58" s="3">
        <v>43</v>
      </c>
      <c r="B58" s="26" t="s">
        <v>501</v>
      </c>
      <c r="C58" s="17" t="s">
        <v>502</v>
      </c>
      <c r="D58" s="3">
        <v>5</v>
      </c>
      <c r="E58" s="3">
        <v>10</v>
      </c>
      <c r="F58" s="3">
        <v>18</v>
      </c>
      <c r="G58" s="3">
        <f t="shared" si="0"/>
        <v>19.8</v>
      </c>
      <c r="H58" s="3">
        <v>17</v>
      </c>
      <c r="I58" s="27">
        <f>H58+G58</f>
        <v>36.799999999999997</v>
      </c>
      <c r="J58" s="3">
        <v>34</v>
      </c>
      <c r="K58" s="27">
        <f t="shared" si="1"/>
        <v>70.8</v>
      </c>
      <c r="L58" s="3">
        <f t="shared" si="2"/>
        <v>14.2</v>
      </c>
      <c r="M58"/>
      <c r="N58"/>
      <c r="O58"/>
      <c r="P58"/>
      <c r="Q58"/>
      <c r="R58"/>
      <c r="S58"/>
    </row>
    <row r="59" spans="1:19" s="7" customFormat="1" ht="16.5" x14ac:dyDescent="0.3">
      <c r="A59" s="3">
        <v>44</v>
      </c>
      <c r="B59" s="26" t="s">
        <v>503</v>
      </c>
      <c r="C59" s="17" t="s">
        <v>504</v>
      </c>
      <c r="D59" s="3">
        <v>5</v>
      </c>
      <c r="E59" s="3">
        <v>10</v>
      </c>
      <c r="F59" s="3">
        <v>10</v>
      </c>
      <c r="G59" s="3">
        <f t="shared" si="0"/>
        <v>15</v>
      </c>
      <c r="H59" s="25"/>
      <c r="I59" s="40"/>
      <c r="J59" s="25"/>
      <c r="K59" s="42" t="s">
        <v>538</v>
      </c>
      <c r="L59" s="42" t="s">
        <v>538</v>
      </c>
      <c r="M59"/>
      <c r="N59"/>
      <c r="O59"/>
      <c r="P59"/>
      <c r="Q59"/>
      <c r="R59"/>
      <c r="S59"/>
    </row>
    <row r="60" spans="1:19" s="7" customFormat="1" ht="16.5" x14ac:dyDescent="0.3">
      <c r="A60" s="3">
        <v>45</v>
      </c>
      <c r="B60" s="26" t="s">
        <v>505</v>
      </c>
      <c r="C60" s="17" t="s">
        <v>506</v>
      </c>
      <c r="D60" s="3">
        <v>10</v>
      </c>
      <c r="E60" s="3">
        <v>14</v>
      </c>
      <c r="F60" s="3">
        <v>19</v>
      </c>
      <c r="G60" s="3">
        <f t="shared" si="0"/>
        <v>25.8</v>
      </c>
      <c r="H60" s="3">
        <v>22</v>
      </c>
      <c r="I60" s="27">
        <f>H60+G60</f>
        <v>47.8</v>
      </c>
      <c r="J60" s="3">
        <v>24.5</v>
      </c>
      <c r="K60" s="27">
        <f t="shared" si="1"/>
        <v>72.3</v>
      </c>
      <c r="L60" s="3">
        <f t="shared" si="2"/>
        <v>14.5</v>
      </c>
      <c r="M60"/>
      <c r="N60"/>
      <c r="O60"/>
      <c r="P60"/>
      <c r="Q60"/>
      <c r="R60"/>
      <c r="S60"/>
    </row>
    <row r="61" spans="1:19" s="7" customFormat="1" ht="16.5" x14ac:dyDescent="0.3">
      <c r="A61" s="3">
        <v>46</v>
      </c>
      <c r="B61" s="26" t="s">
        <v>507</v>
      </c>
      <c r="C61" s="17" t="s">
        <v>508</v>
      </c>
      <c r="D61" s="3">
        <v>5</v>
      </c>
      <c r="E61" s="3">
        <v>10</v>
      </c>
      <c r="F61" s="3">
        <v>19</v>
      </c>
      <c r="G61" s="3">
        <f t="shared" si="0"/>
        <v>20.399999999999999</v>
      </c>
      <c r="H61" s="3">
        <v>19</v>
      </c>
      <c r="I61" s="27">
        <f>H61+G61</f>
        <v>39.4</v>
      </c>
      <c r="J61" s="3">
        <v>22</v>
      </c>
      <c r="K61" s="27">
        <f t="shared" si="1"/>
        <v>61.4</v>
      </c>
      <c r="L61" s="3">
        <f t="shared" si="2"/>
        <v>12.3</v>
      </c>
      <c r="M61"/>
      <c r="N61"/>
      <c r="O61"/>
      <c r="P61"/>
      <c r="Q61"/>
      <c r="R61"/>
      <c r="S61"/>
    </row>
    <row r="62" spans="1:19" s="7" customFormat="1" ht="16.5" x14ac:dyDescent="0.3">
      <c r="A62" s="3">
        <v>47</v>
      </c>
      <c r="B62" s="26" t="s">
        <v>509</v>
      </c>
      <c r="C62" s="17" t="s">
        <v>510</v>
      </c>
      <c r="D62" s="3">
        <v>10</v>
      </c>
      <c r="E62" s="3">
        <v>18</v>
      </c>
      <c r="F62" s="3">
        <v>19</v>
      </c>
      <c r="G62" s="3">
        <f t="shared" si="0"/>
        <v>28.2</v>
      </c>
      <c r="H62" s="3">
        <v>18</v>
      </c>
      <c r="I62" s="27">
        <f>H62+G62</f>
        <v>46.2</v>
      </c>
      <c r="J62" s="3">
        <v>23</v>
      </c>
      <c r="K62" s="27">
        <f t="shared" si="1"/>
        <v>69.2</v>
      </c>
      <c r="L62" s="3">
        <f t="shared" si="2"/>
        <v>13.8</v>
      </c>
      <c r="M62"/>
      <c r="N62"/>
      <c r="O62"/>
      <c r="P62"/>
      <c r="Q62"/>
      <c r="R62"/>
      <c r="S62"/>
    </row>
    <row r="63" spans="1:19" s="7" customFormat="1" ht="16.5" x14ac:dyDescent="0.3">
      <c r="A63" s="3">
        <v>49</v>
      </c>
      <c r="B63" s="26" t="s">
        <v>511</v>
      </c>
      <c r="C63" s="17" t="s">
        <v>512</v>
      </c>
      <c r="D63" s="3">
        <v>10</v>
      </c>
      <c r="E63" s="3">
        <v>17</v>
      </c>
      <c r="F63" s="3">
        <v>19</v>
      </c>
      <c r="G63" s="3">
        <f t="shared" si="0"/>
        <v>27.6</v>
      </c>
      <c r="H63" s="3">
        <v>26</v>
      </c>
      <c r="I63" s="27">
        <f>H63+G63</f>
        <v>53.6</v>
      </c>
      <c r="J63" s="3">
        <v>37.5</v>
      </c>
      <c r="K63" s="27">
        <f t="shared" si="1"/>
        <v>91.1</v>
      </c>
      <c r="L63" s="3">
        <f t="shared" si="2"/>
        <v>18.2</v>
      </c>
      <c r="M63"/>
      <c r="N63"/>
      <c r="O63"/>
      <c r="P63"/>
      <c r="Q63"/>
      <c r="R63"/>
      <c r="S63"/>
    </row>
    <row r="64" spans="1:19" s="7" customFormat="1" ht="16.5" x14ac:dyDescent="0.3">
      <c r="A64" s="3">
        <v>50</v>
      </c>
      <c r="B64" s="26" t="s">
        <v>513</v>
      </c>
      <c r="C64" s="17" t="s">
        <v>514</v>
      </c>
      <c r="D64" s="3">
        <v>10</v>
      </c>
      <c r="E64" s="3">
        <v>18</v>
      </c>
      <c r="F64" s="3">
        <v>17</v>
      </c>
      <c r="G64" s="3">
        <f t="shared" si="0"/>
        <v>27</v>
      </c>
      <c r="H64" s="3">
        <v>25</v>
      </c>
      <c r="I64" s="27">
        <f>H64+G64</f>
        <v>52</v>
      </c>
      <c r="J64" s="3">
        <v>24</v>
      </c>
      <c r="K64" s="27">
        <f t="shared" si="1"/>
        <v>76</v>
      </c>
      <c r="L64" s="3">
        <f t="shared" si="2"/>
        <v>15.2</v>
      </c>
      <c r="M64"/>
      <c r="N64"/>
      <c r="O64"/>
      <c r="P64"/>
      <c r="Q64"/>
      <c r="R64"/>
      <c r="S64"/>
    </row>
    <row r="65" spans="1:19" s="7" customFormat="1" ht="16.5" x14ac:dyDescent="0.3">
      <c r="A65" s="3">
        <v>51</v>
      </c>
      <c r="B65" s="26" t="s">
        <v>515</v>
      </c>
      <c r="C65" s="17" t="s">
        <v>516</v>
      </c>
      <c r="D65" s="3">
        <v>10</v>
      </c>
      <c r="E65" s="3">
        <v>18</v>
      </c>
      <c r="F65" s="3">
        <v>17</v>
      </c>
      <c r="G65" s="3">
        <f t="shared" si="0"/>
        <v>27</v>
      </c>
      <c r="H65" s="3">
        <v>16</v>
      </c>
      <c r="I65" s="27">
        <f>H65+G65</f>
        <v>43</v>
      </c>
      <c r="J65" s="3">
        <v>24</v>
      </c>
      <c r="K65" s="27">
        <f t="shared" si="1"/>
        <v>67</v>
      </c>
      <c r="L65" s="3">
        <f t="shared" si="2"/>
        <v>13.4</v>
      </c>
      <c r="M65"/>
      <c r="N65"/>
      <c r="O65"/>
      <c r="P65"/>
      <c r="Q65"/>
      <c r="R65"/>
      <c r="S65"/>
    </row>
    <row r="66" spans="1:19" s="7" customFormat="1" ht="16.5" x14ac:dyDescent="0.3">
      <c r="A66" s="3">
        <v>52</v>
      </c>
      <c r="B66" s="26" t="s">
        <v>517</v>
      </c>
      <c r="C66" s="17" t="s">
        <v>518</v>
      </c>
      <c r="D66" s="3">
        <v>10</v>
      </c>
      <c r="E66" s="3">
        <v>19</v>
      </c>
      <c r="F66" s="3">
        <v>17</v>
      </c>
      <c r="G66" s="3">
        <f t="shared" si="0"/>
        <v>27.6</v>
      </c>
      <c r="H66" s="3">
        <v>19</v>
      </c>
      <c r="I66" s="27">
        <f>H66+G66</f>
        <v>46.6</v>
      </c>
      <c r="J66" s="3">
        <v>31.5</v>
      </c>
      <c r="K66" s="27">
        <f t="shared" si="1"/>
        <v>78.099999999999994</v>
      </c>
      <c r="L66" s="3">
        <f t="shared" si="2"/>
        <v>15.6</v>
      </c>
      <c r="M66"/>
      <c r="N66"/>
      <c r="O66"/>
      <c r="P66"/>
      <c r="Q66"/>
      <c r="R66"/>
      <c r="S66"/>
    </row>
    <row r="67" spans="1:19" s="7" customFormat="1" ht="16.5" x14ac:dyDescent="0.3">
      <c r="A67" s="3">
        <v>53</v>
      </c>
      <c r="B67" s="26" t="s">
        <v>519</v>
      </c>
      <c r="C67" s="17" t="s">
        <v>520</v>
      </c>
      <c r="D67" s="3">
        <v>10</v>
      </c>
      <c r="E67" s="3">
        <v>18</v>
      </c>
      <c r="F67" s="3">
        <v>16</v>
      </c>
      <c r="G67" s="3">
        <f t="shared" si="0"/>
        <v>26.4</v>
      </c>
      <c r="H67" s="3">
        <v>14</v>
      </c>
      <c r="I67" s="27">
        <f>H67+G67</f>
        <v>40.4</v>
      </c>
      <c r="J67" s="3">
        <v>25.5</v>
      </c>
      <c r="K67" s="27">
        <f t="shared" si="1"/>
        <v>65.900000000000006</v>
      </c>
      <c r="L67" s="3">
        <f t="shared" si="2"/>
        <v>13.2</v>
      </c>
      <c r="M67"/>
      <c r="N67"/>
      <c r="O67"/>
      <c r="P67"/>
      <c r="Q67"/>
      <c r="R67"/>
      <c r="S67"/>
    </row>
    <row r="68" spans="1:19" s="7" customFormat="1" ht="16.5" x14ac:dyDescent="0.3">
      <c r="A68" s="3">
        <v>54</v>
      </c>
      <c r="B68" s="26" t="s">
        <v>521</v>
      </c>
      <c r="C68" s="17" t="s">
        <v>522</v>
      </c>
      <c r="D68" s="3">
        <v>10</v>
      </c>
      <c r="E68" s="3">
        <v>18</v>
      </c>
      <c r="F68" s="3">
        <v>17</v>
      </c>
      <c r="G68" s="3">
        <f t="shared" si="0"/>
        <v>27</v>
      </c>
      <c r="H68" s="3">
        <v>27</v>
      </c>
      <c r="I68" s="27">
        <f>H68+G68</f>
        <v>54</v>
      </c>
      <c r="J68" s="3">
        <v>23.5</v>
      </c>
      <c r="K68" s="27">
        <f t="shared" si="1"/>
        <v>77.5</v>
      </c>
      <c r="L68" s="3">
        <f t="shared" si="2"/>
        <v>15.5</v>
      </c>
      <c r="M68"/>
      <c r="N68"/>
    </row>
    <row r="69" spans="1:19" s="7" customFormat="1" ht="16.5" x14ac:dyDescent="0.3">
      <c r="A69" s="3">
        <v>55</v>
      </c>
      <c r="B69" s="26" t="s">
        <v>523</v>
      </c>
      <c r="C69" s="17" t="s">
        <v>524</v>
      </c>
      <c r="D69" s="3">
        <v>5</v>
      </c>
      <c r="E69" s="3">
        <v>17</v>
      </c>
      <c r="F69" s="3">
        <v>17</v>
      </c>
      <c r="G69" s="3">
        <f t="shared" si="0"/>
        <v>23.4</v>
      </c>
      <c r="H69" s="3">
        <v>23</v>
      </c>
      <c r="I69" s="27">
        <f>H69+G69</f>
        <v>46.4</v>
      </c>
      <c r="J69" s="3">
        <v>23.5</v>
      </c>
      <c r="K69" s="27">
        <f t="shared" si="1"/>
        <v>69.900000000000006</v>
      </c>
      <c r="L69" s="3">
        <f t="shared" si="2"/>
        <v>14</v>
      </c>
      <c r="M69"/>
      <c r="N69"/>
    </row>
    <row r="70" spans="1:19" s="7" customFormat="1" ht="16.5" x14ac:dyDescent="0.3">
      <c r="A70" s="3">
        <v>56</v>
      </c>
      <c r="B70" s="26" t="s">
        <v>525</v>
      </c>
      <c r="C70" s="17" t="s">
        <v>526</v>
      </c>
      <c r="D70" s="3">
        <v>10</v>
      </c>
      <c r="E70" s="3">
        <v>17</v>
      </c>
      <c r="F70" s="3">
        <v>19</v>
      </c>
      <c r="G70" s="3">
        <f t="shared" si="0"/>
        <v>27.6</v>
      </c>
      <c r="H70" s="3">
        <v>29</v>
      </c>
      <c r="I70" s="27">
        <f>H70+G70</f>
        <v>56.6</v>
      </c>
      <c r="J70" s="3">
        <v>35.5</v>
      </c>
      <c r="K70" s="27">
        <f t="shared" si="1"/>
        <v>92.1</v>
      </c>
      <c r="L70" s="3">
        <f t="shared" si="2"/>
        <v>18.399999999999999</v>
      </c>
      <c r="M70"/>
      <c r="N70"/>
    </row>
    <row r="71" spans="1:19" s="7" customFormat="1" ht="16.5" x14ac:dyDescent="0.3">
      <c r="A71" s="3">
        <v>57</v>
      </c>
      <c r="B71" s="26" t="s">
        <v>527</v>
      </c>
      <c r="C71" s="17" t="s">
        <v>528</v>
      </c>
      <c r="D71" s="3">
        <v>10</v>
      </c>
      <c r="E71" s="3">
        <v>19</v>
      </c>
      <c r="F71" s="3">
        <v>19</v>
      </c>
      <c r="G71" s="3">
        <f t="shared" si="0"/>
        <v>28.8</v>
      </c>
      <c r="H71" s="3">
        <v>23</v>
      </c>
      <c r="I71" s="27">
        <f>H71+G71</f>
        <v>51.8</v>
      </c>
      <c r="J71" s="3">
        <v>34.5</v>
      </c>
      <c r="K71" s="27">
        <f t="shared" si="1"/>
        <v>86.3</v>
      </c>
      <c r="L71" s="3">
        <f t="shared" si="2"/>
        <v>17.3</v>
      </c>
      <c r="M71"/>
      <c r="N71"/>
    </row>
    <row r="72" spans="1:19" s="7" customFormat="1" ht="16.5" x14ac:dyDescent="0.3">
      <c r="A72" s="3">
        <v>58</v>
      </c>
      <c r="B72" s="26" t="s">
        <v>529</v>
      </c>
      <c r="C72" s="17" t="s">
        <v>530</v>
      </c>
      <c r="D72" s="3">
        <v>10</v>
      </c>
      <c r="E72" s="3">
        <v>10</v>
      </c>
      <c r="F72" s="3">
        <v>17</v>
      </c>
      <c r="G72" s="3">
        <f t="shared" si="0"/>
        <v>22.2</v>
      </c>
      <c r="H72" s="3">
        <v>28</v>
      </c>
      <c r="I72" s="27">
        <f>H72+G72</f>
        <v>50.2</v>
      </c>
      <c r="J72" s="3">
        <v>33</v>
      </c>
      <c r="K72" s="27">
        <f t="shared" si="1"/>
        <v>83.2</v>
      </c>
      <c r="L72" s="3">
        <f t="shared" si="2"/>
        <v>16.600000000000001</v>
      </c>
      <c r="M72"/>
      <c r="N72"/>
    </row>
    <row r="73" spans="1:19" s="7" customFormat="1" x14ac:dyDescent="0.25">
      <c r="A73" s="30">
        <v>59</v>
      </c>
      <c r="B73" s="38">
        <v>26090</v>
      </c>
      <c r="C73" s="30" t="s">
        <v>531</v>
      </c>
      <c r="D73" s="30">
        <v>10</v>
      </c>
      <c r="E73" s="30">
        <v>10</v>
      </c>
      <c r="F73" s="30">
        <v>10</v>
      </c>
      <c r="G73" s="30">
        <f t="shared" si="0"/>
        <v>18</v>
      </c>
      <c r="H73" s="30">
        <v>6</v>
      </c>
      <c r="I73" s="39">
        <f>H73+G73</f>
        <v>24</v>
      </c>
      <c r="J73" s="25"/>
      <c r="K73" s="42" t="s">
        <v>538</v>
      </c>
      <c r="L73" s="42" t="s">
        <v>538</v>
      </c>
      <c r="M73"/>
      <c r="N73"/>
    </row>
    <row r="74" spans="1:19" s="7" customFormat="1" x14ac:dyDescent="0.25">
      <c r="A74" s="30">
        <v>61</v>
      </c>
      <c r="B74" s="38">
        <v>28762</v>
      </c>
      <c r="C74" s="30" t="s">
        <v>148</v>
      </c>
      <c r="D74" s="30">
        <v>10</v>
      </c>
      <c r="E74" s="30">
        <v>18</v>
      </c>
      <c r="F74" s="30">
        <v>17</v>
      </c>
      <c r="G74" s="30">
        <f t="shared" ref="G74" si="3">(D74+E74+F74)*30/50</f>
        <v>27</v>
      </c>
      <c r="H74" s="30">
        <v>26</v>
      </c>
      <c r="I74" s="39">
        <f>H74+G74</f>
        <v>53</v>
      </c>
      <c r="J74" s="30">
        <v>37.5</v>
      </c>
      <c r="K74" s="39">
        <f>I74+J74</f>
        <v>90.5</v>
      </c>
      <c r="L74" s="3">
        <f t="shared" si="2"/>
        <v>18.100000000000001</v>
      </c>
    </row>
    <row r="75" spans="1:19" x14ac:dyDescent="0.25">
      <c r="B75" s="34" t="s">
        <v>6</v>
      </c>
      <c r="C75" s="34"/>
      <c r="D75" s="34"/>
      <c r="E75" s="34"/>
      <c r="F75" s="34"/>
      <c r="G75" s="34"/>
      <c r="H75" s="34"/>
      <c r="I75" s="34"/>
      <c r="J75" s="34"/>
      <c r="K75" s="34"/>
    </row>
    <row r="76" spans="1:19" x14ac:dyDescent="0.25">
      <c r="A76" s="5" t="s">
        <v>1</v>
      </c>
      <c r="B76" s="5" t="s">
        <v>10</v>
      </c>
      <c r="C76" s="5" t="s">
        <v>9</v>
      </c>
      <c r="D76" s="36"/>
      <c r="E76" s="37"/>
      <c r="F76" s="35" t="s">
        <v>7</v>
      </c>
      <c r="G76" s="36"/>
      <c r="H76" s="36"/>
      <c r="I76" s="36"/>
      <c r="J76" s="36"/>
      <c r="K76" s="36"/>
      <c r="L76" s="6"/>
    </row>
    <row r="77" spans="1:19" x14ac:dyDescent="0.25">
      <c r="A77" s="5">
        <v>1</v>
      </c>
      <c r="B77" s="5"/>
      <c r="C77" s="5"/>
      <c r="D77" s="36"/>
      <c r="E77" s="37"/>
      <c r="F77" s="35"/>
      <c r="G77" s="36"/>
      <c r="H77" s="36"/>
      <c r="I77" s="36"/>
      <c r="J77" s="36"/>
      <c r="K77" s="37"/>
      <c r="L77" s="6"/>
    </row>
    <row r="78" spans="1:19" x14ac:dyDescent="0.25">
      <c r="A78" s="5"/>
      <c r="B78" s="5"/>
      <c r="C78" s="5"/>
      <c r="D78" s="36"/>
      <c r="E78" s="37"/>
      <c r="F78" s="35"/>
      <c r="G78" s="36"/>
      <c r="H78" s="36"/>
      <c r="I78" s="36"/>
      <c r="J78" s="36"/>
      <c r="K78" s="37"/>
      <c r="L78" s="6"/>
    </row>
    <row r="81" spans="2:14" ht="21" x14ac:dyDescent="0.35">
      <c r="F81" s="8" t="s">
        <v>11</v>
      </c>
    </row>
    <row r="82" spans="2:14" x14ac:dyDescent="0.25">
      <c r="F82" s="9"/>
    </row>
    <row r="83" spans="2:14" ht="77.25" customHeight="1" x14ac:dyDescent="0.25">
      <c r="D83" s="31"/>
      <c r="E83" s="31"/>
      <c r="F83" s="31"/>
      <c r="G83" s="31"/>
      <c r="H83" s="29"/>
      <c r="I83" s="29"/>
      <c r="J83" s="32" t="s">
        <v>12</v>
      </c>
      <c r="K83" s="33"/>
      <c r="L83" s="10" t="s">
        <v>13</v>
      </c>
      <c r="M83" s="10" t="s">
        <v>14</v>
      </c>
      <c r="N83" s="10" t="s">
        <v>15</v>
      </c>
    </row>
    <row r="84" spans="2:14" ht="39" x14ac:dyDescent="0.25">
      <c r="D84" s="22" t="s">
        <v>16</v>
      </c>
      <c r="E84" s="11" t="s">
        <v>17</v>
      </c>
      <c r="F84" s="11" t="s">
        <v>18</v>
      </c>
      <c r="G84" s="11" t="s">
        <v>19</v>
      </c>
      <c r="H84" s="11"/>
      <c r="I84" s="11"/>
      <c r="J84" s="12" t="s">
        <v>20</v>
      </c>
      <c r="K84" s="12" t="s">
        <v>21</v>
      </c>
      <c r="L84" s="13"/>
      <c r="M84" s="13"/>
      <c r="N84" s="13"/>
    </row>
    <row r="85" spans="2:14" x14ac:dyDescent="0.25">
      <c r="D85" s="23">
        <f>COUNTIF(L14:L74,"&gt;=14")-COUNTIF(L14:L74,"&gt;=15.99")</f>
        <v>19</v>
      </c>
      <c r="E85" s="13">
        <f>COUNTIF(L14:L74,"&gt;=12")-COUNTIF(L14:L74,"&gt;=13.99")</f>
        <v>16</v>
      </c>
      <c r="F85" s="13">
        <f>COUNTIF(L14:L74,"&gt;=10")-COUNTIF(L14:L74,"&gt;=11.9")</f>
        <v>7</v>
      </c>
      <c r="G85" s="13">
        <f>COUNTIF(L14:L74,"&lt;10")</f>
        <v>2</v>
      </c>
      <c r="H85" s="13"/>
      <c r="I85" s="13"/>
      <c r="J85" s="13">
        <f>COUNTBLANK(H14:H74)</f>
        <v>2</v>
      </c>
      <c r="K85" s="13">
        <f>COUNTBLANK(J14:J74)</f>
        <v>4</v>
      </c>
      <c r="L85" s="13"/>
      <c r="M85" s="13">
        <f>ROWS(A14:A74)</f>
        <v>61</v>
      </c>
      <c r="N85" s="13"/>
    </row>
    <row r="87" spans="2:14" ht="18.75" x14ac:dyDescent="0.3">
      <c r="B87" s="14" t="s">
        <v>22</v>
      </c>
      <c r="E87" s="15" t="s">
        <v>23</v>
      </c>
      <c r="L87" s="14" t="s">
        <v>24</v>
      </c>
    </row>
    <row r="88" spans="2:14" x14ac:dyDescent="0.25">
      <c r="E88" s="16"/>
    </row>
    <row r="90" spans="2:14" ht="26.45" customHeight="1" x14ac:dyDescent="0.25">
      <c r="C90" s="24"/>
      <c r="E90" s="24"/>
    </row>
    <row r="91" spans="2:14" x14ac:dyDescent="0.25">
      <c r="B91" s="2" t="s">
        <v>539</v>
      </c>
    </row>
  </sheetData>
  <mergeCells count="9">
    <mergeCell ref="D83:G83"/>
    <mergeCell ref="J83:K83"/>
    <mergeCell ref="B75:K75"/>
    <mergeCell ref="D76:E76"/>
    <mergeCell ref="F76:K76"/>
    <mergeCell ref="D77:E77"/>
    <mergeCell ref="F77:K77"/>
    <mergeCell ref="D78:E78"/>
    <mergeCell ref="F78:K78"/>
  </mergeCells>
  <conditionalFormatting sqref="K16:K21 K23:K58 K60:K72 K74">
    <cfRule type="cellIs" dxfId="7" priority="7" operator="lessThan">
      <formula>50</formula>
    </cfRule>
  </conditionalFormatting>
  <conditionalFormatting sqref="L16:L21 L23:L58 L60:L72 L74">
    <cfRule type="cellIs" dxfId="6" priority="8" operator="lessThan">
      <formula>10</formula>
    </cfRule>
  </conditionalFormatting>
  <conditionalFormatting sqref="K22">
    <cfRule type="cellIs" dxfId="5" priority="6" operator="lessThan">
      <formula>50</formula>
    </cfRule>
  </conditionalFormatting>
  <conditionalFormatting sqref="L22">
    <cfRule type="cellIs" dxfId="4" priority="5" operator="lessThan">
      <formula>50</formula>
    </cfRule>
  </conditionalFormatting>
  <conditionalFormatting sqref="K59">
    <cfRule type="cellIs" dxfId="3" priority="4" operator="lessThan">
      <formula>50</formula>
    </cfRule>
  </conditionalFormatting>
  <conditionalFormatting sqref="L59">
    <cfRule type="cellIs" dxfId="2" priority="3" operator="lessThan">
      <formula>50</formula>
    </cfRule>
  </conditionalFormatting>
  <conditionalFormatting sqref="K73">
    <cfRule type="cellIs" dxfId="1" priority="2" operator="lessThan">
      <formula>50</formula>
    </cfRule>
  </conditionalFormatting>
  <conditionalFormatting sqref="L73">
    <cfRule type="cellIs" dxfId="0" priority="1" operator="lessThan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</vt:lpstr>
      <vt:lpstr>L</vt:lpstr>
      <vt:lpstr>F</vt:lpstr>
      <vt:lpstr>I</vt:lpstr>
      <vt:lpstr>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Chantal</cp:lastModifiedBy>
  <cp:lastPrinted>2025-01-02T13:10:51Z</cp:lastPrinted>
  <dcterms:created xsi:type="dcterms:W3CDTF">2024-05-23T02:51:54Z</dcterms:created>
  <dcterms:modified xsi:type="dcterms:W3CDTF">2026-01-08T05:44:20Z</dcterms:modified>
</cp:coreProperties>
</file>